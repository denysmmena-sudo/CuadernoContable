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. Archivos\3. Sunat\Codigo\CuadernoContable\"/>
    </mc:Choice>
  </mc:AlternateContent>
  <xr:revisionPtr revIDLastSave="0" documentId="13_ncr:1_{6514C4CE-D87E-4873-9BE1-479C163FDB2A}" xr6:coauthVersionLast="47" xr6:coauthVersionMax="47" xr10:uidLastSave="{00000000-0000-0000-0000-000000000000}"/>
  <bookViews>
    <workbookView xWindow="-108" yWindow="-108" windowWidth="23256" windowHeight="12456" xr2:uid="{9C02FBC8-2050-43BA-8A32-96F33B5C9BF6}"/>
  </bookViews>
  <sheets>
    <sheet name="Hoja1" sheetId="1" r:id="rId1"/>
  </sheets>
  <definedNames>
    <definedName name="_xlnm._FilterDatabase" localSheetId="0" hidden="1">Hoja1!$C$3:$O$103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1" i="1" l="1"/>
  <c r="M41" i="1" s="1"/>
  <c r="J42" i="1"/>
  <c r="M42" i="1" s="1"/>
  <c r="J43" i="1"/>
  <c r="M43" i="1" s="1"/>
  <c r="J18" i="1"/>
  <c r="M18" i="1" s="1"/>
  <c r="J17" i="1"/>
  <c r="M17" i="1" s="1"/>
  <c r="J16" i="1"/>
  <c r="M16" i="1" s="1"/>
  <c r="J57" i="1"/>
  <c r="M57" i="1" s="1"/>
  <c r="J39" i="1"/>
  <c r="M39" i="1" s="1"/>
  <c r="J40" i="1"/>
  <c r="M40" i="1" s="1"/>
  <c r="J44" i="1"/>
  <c r="M44" i="1" s="1"/>
  <c r="J45" i="1"/>
  <c r="M45" i="1" s="1"/>
  <c r="J46" i="1"/>
  <c r="M46" i="1" s="1"/>
  <c r="J47" i="1"/>
  <c r="M47" i="1" s="1"/>
  <c r="J48" i="1"/>
  <c r="M48" i="1" s="1"/>
  <c r="J49" i="1"/>
  <c r="M49" i="1" s="1"/>
  <c r="J50" i="1"/>
  <c r="M50" i="1" s="1"/>
  <c r="J51" i="1"/>
  <c r="M51" i="1" s="1"/>
  <c r="J52" i="1"/>
  <c r="M52" i="1" s="1"/>
  <c r="J53" i="1"/>
  <c r="M53" i="1" s="1"/>
  <c r="J54" i="1"/>
  <c r="M54" i="1" s="1"/>
  <c r="J55" i="1"/>
  <c r="M55" i="1" s="1"/>
  <c r="J56" i="1"/>
  <c r="M56" i="1" s="1"/>
  <c r="J58" i="1"/>
  <c r="M58" i="1" s="1"/>
  <c r="J59" i="1"/>
  <c r="M59" i="1" s="1"/>
  <c r="J60" i="1"/>
  <c r="M60" i="1" s="1"/>
  <c r="J61" i="1"/>
  <c r="M61" i="1" s="1"/>
  <c r="J62" i="1"/>
  <c r="M62" i="1" s="1"/>
  <c r="J63" i="1"/>
  <c r="M63" i="1" s="1"/>
  <c r="J64" i="1"/>
  <c r="M64" i="1" s="1"/>
  <c r="J65" i="1"/>
  <c r="M65" i="1" s="1"/>
  <c r="J66" i="1"/>
  <c r="M66" i="1" s="1"/>
  <c r="J67" i="1"/>
  <c r="M67" i="1" s="1"/>
  <c r="J68" i="1"/>
  <c r="M68" i="1" s="1"/>
  <c r="J69" i="1"/>
  <c r="M69" i="1" s="1"/>
  <c r="J70" i="1"/>
  <c r="M70" i="1" s="1"/>
  <c r="J71" i="1"/>
  <c r="M71" i="1" s="1"/>
  <c r="J72" i="1"/>
  <c r="M72" i="1" s="1"/>
  <c r="J73" i="1"/>
  <c r="M73" i="1" s="1"/>
  <c r="J74" i="1"/>
  <c r="M74" i="1" s="1"/>
  <c r="J75" i="1"/>
  <c r="M75" i="1" s="1"/>
  <c r="J76" i="1"/>
  <c r="M76" i="1" s="1"/>
  <c r="J77" i="1"/>
  <c r="M77" i="1" s="1"/>
  <c r="J78" i="1"/>
  <c r="M78" i="1" s="1"/>
  <c r="J79" i="1"/>
  <c r="M79" i="1" s="1"/>
  <c r="J80" i="1"/>
  <c r="M80" i="1" s="1"/>
  <c r="J81" i="1"/>
  <c r="M81" i="1" s="1"/>
  <c r="J82" i="1"/>
  <c r="M82" i="1" s="1"/>
  <c r="J83" i="1"/>
  <c r="M83" i="1" s="1"/>
  <c r="J84" i="1"/>
  <c r="M84" i="1" s="1"/>
  <c r="J85" i="1"/>
  <c r="M85" i="1" s="1"/>
  <c r="J86" i="1"/>
  <c r="M86" i="1" s="1"/>
  <c r="J87" i="1"/>
  <c r="M87" i="1" s="1"/>
  <c r="J88" i="1"/>
  <c r="M88" i="1" s="1"/>
  <c r="J89" i="1"/>
  <c r="M89" i="1" s="1"/>
  <c r="J90" i="1"/>
  <c r="M90" i="1" s="1"/>
  <c r="J91" i="1"/>
  <c r="M91" i="1" s="1"/>
  <c r="J92" i="1"/>
  <c r="M92" i="1" s="1"/>
  <c r="J93" i="1"/>
  <c r="M93" i="1" s="1"/>
  <c r="J94" i="1"/>
  <c r="M94" i="1" s="1"/>
  <c r="J95" i="1"/>
  <c r="M95" i="1" s="1"/>
  <c r="J96" i="1"/>
  <c r="M96" i="1" s="1"/>
  <c r="J97" i="1"/>
  <c r="M97" i="1" s="1"/>
  <c r="J98" i="1"/>
  <c r="M98" i="1" s="1"/>
  <c r="J99" i="1"/>
  <c r="M99" i="1" s="1"/>
  <c r="J100" i="1"/>
  <c r="M100" i="1" s="1"/>
  <c r="J101" i="1"/>
  <c r="M101" i="1" s="1"/>
  <c r="J102" i="1"/>
  <c r="M102" i="1" s="1"/>
  <c r="J103" i="1"/>
  <c r="M103" i="1" s="1"/>
  <c r="J26" i="1"/>
  <c r="M26" i="1" s="1"/>
  <c r="J27" i="1"/>
  <c r="M27" i="1" s="1"/>
  <c r="J28" i="1"/>
  <c r="M28" i="1" s="1"/>
  <c r="J29" i="1"/>
  <c r="M29" i="1" s="1"/>
  <c r="J30" i="1"/>
  <c r="M30" i="1" s="1"/>
  <c r="J31" i="1"/>
  <c r="M31" i="1" s="1"/>
  <c r="J6" i="1"/>
  <c r="M6" i="1" s="1"/>
  <c r="J7" i="1"/>
  <c r="M7" i="1" s="1"/>
  <c r="J15" i="1"/>
  <c r="M15" i="1" s="1"/>
  <c r="J5" i="1"/>
  <c r="M5" i="1" s="1"/>
  <c r="J8" i="1"/>
  <c r="M8" i="1" s="1"/>
  <c r="J9" i="1"/>
  <c r="M9" i="1" s="1"/>
  <c r="J10" i="1"/>
  <c r="M10" i="1" s="1"/>
  <c r="J11" i="1"/>
  <c r="M11" i="1" s="1"/>
  <c r="J12" i="1"/>
  <c r="M12" i="1" s="1"/>
  <c r="J13" i="1"/>
  <c r="M13" i="1" s="1"/>
  <c r="J14" i="1"/>
  <c r="M14" i="1" s="1"/>
  <c r="J19" i="1"/>
  <c r="M19" i="1" s="1"/>
  <c r="J20" i="1"/>
  <c r="M20" i="1" s="1"/>
  <c r="J21" i="1"/>
  <c r="M21" i="1" s="1"/>
  <c r="J22" i="1"/>
  <c r="M22" i="1" s="1"/>
  <c r="J23" i="1"/>
  <c r="M23" i="1" s="1"/>
  <c r="J24" i="1"/>
  <c r="M24" i="1" s="1"/>
  <c r="J25" i="1"/>
  <c r="M25" i="1" s="1"/>
  <c r="J32" i="1"/>
  <c r="M32" i="1" s="1"/>
  <c r="J33" i="1"/>
  <c r="M33" i="1" s="1"/>
  <c r="J34" i="1"/>
  <c r="M34" i="1" s="1"/>
  <c r="J35" i="1"/>
  <c r="M35" i="1" s="1"/>
  <c r="J36" i="1"/>
  <c r="M36" i="1" s="1"/>
  <c r="J37" i="1"/>
  <c r="M37" i="1" s="1"/>
  <c r="J38" i="1"/>
  <c r="M38" i="1" s="1"/>
  <c r="J4" i="1"/>
  <c r="M4" i="1" s="1"/>
</calcChain>
</file>

<file path=xl/sharedStrings.xml><?xml version="1.0" encoding="utf-8"?>
<sst xmlns="http://schemas.openxmlformats.org/spreadsheetml/2006/main" count="611" uniqueCount="228">
  <si>
    <t>CODIGO</t>
  </si>
  <si>
    <t>DESCRIPCION</t>
  </si>
  <si>
    <t>METRO</t>
  </si>
  <si>
    <t>UNIDAD</t>
  </si>
  <si>
    <t>FOCO LED PHELIX 18W</t>
  </si>
  <si>
    <t>SUB_TOTAL</t>
  </si>
  <si>
    <t>IGV</t>
  </si>
  <si>
    <t>TOTAL PRODUCTO</t>
  </si>
  <si>
    <t>FOCO LED PHELIX 40W</t>
  </si>
  <si>
    <t>FOCO LED PHELIX 30W</t>
  </si>
  <si>
    <t>FOCO LED PHELIX 22W</t>
  </si>
  <si>
    <t>FOCO LED PHELIX 15W</t>
  </si>
  <si>
    <t>BOTELLA</t>
  </si>
  <si>
    <t>KRESO DESINFECTANTE REY</t>
  </si>
  <si>
    <t>SOCATE SIMPLE SOBREPONER</t>
  </si>
  <si>
    <t>MONTO VENTA</t>
  </si>
  <si>
    <t>CHAPA ESCRITORIO 22MM</t>
  </si>
  <si>
    <t>CERROJO N2 SANZON</t>
  </si>
  <si>
    <t>TIJERA LEON N8</t>
  </si>
  <si>
    <t>CERROJO N3 SANZON</t>
  </si>
  <si>
    <t>FOCO LED ALFA 13W</t>
  </si>
  <si>
    <t>FOCO LED ALFA 9W</t>
  </si>
  <si>
    <t>FOCO LED ALFA 7W</t>
  </si>
  <si>
    <t>WINCHA HOJA ANCHA 5M</t>
  </si>
  <si>
    <t>CABLE LUZ MELLIZO N12 ULIX</t>
  </si>
  <si>
    <t>CANDADO N50 CROMADO</t>
  </si>
  <si>
    <t>CANDADO N40 CROMADO</t>
  </si>
  <si>
    <t>CANDADO N30 CROMADO</t>
  </si>
  <si>
    <t>CANDADO N25 CROMADO</t>
  </si>
  <si>
    <t>CANDADO N20 CROMADO</t>
  </si>
  <si>
    <t>SOCATE EMPTR</t>
  </si>
  <si>
    <t>BOLSA CIERRE GDE</t>
  </si>
  <si>
    <t>BOLSA CIERRE PEQ</t>
  </si>
  <si>
    <t>ACIDO DOMESTICO REY MED</t>
  </si>
  <si>
    <t>BOLSA CIERRE MED</t>
  </si>
  <si>
    <t>DESARM PEQ DBL PUNTA</t>
  </si>
  <si>
    <t>DESARM MED DBL PUNTA</t>
  </si>
  <si>
    <t>TMCORRIENTE EMPTR UNA ENTR</t>
  </si>
  <si>
    <t>TMCORRIENTE EMPTR DBL ENTR</t>
  </si>
  <si>
    <t>EXT TMCORRIENTE 5M</t>
  </si>
  <si>
    <t>EXT TMCORRIENTE 10M</t>
  </si>
  <si>
    <t>EXT TMCORRIENTE 3M</t>
  </si>
  <si>
    <t>EXT TMCORRIENTE 2M</t>
  </si>
  <si>
    <t>TMTRES SOBREPONER</t>
  </si>
  <si>
    <t>BOLSA CIERRE GTE</t>
  </si>
  <si>
    <t>ROLLO CINTA FILM 2KG 20PLG</t>
  </si>
  <si>
    <t>ROLLO CINTA FILM 2KG 18PLG</t>
  </si>
  <si>
    <t>ROLLO CINTA FILM 2KG 15PLG</t>
  </si>
  <si>
    <t>LLAV CHORR 1/2PLG PVC CYA MET</t>
  </si>
  <si>
    <t>LLAV PASO 1PLG PVC CYA</t>
  </si>
  <si>
    <t>LLAV PASO 3/4PLG PVC CYA</t>
  </si>
  <si>
    <t>LLAV PASO 1/2PLG PVC CYA</t>
  </si>
  <si>
    <t>TIJERA DELFIN 9 1/2PLG</t>
  </si>
  <si>
    <t>EXT 20M AMARL HOMELIGHT</t>
  </si>
  <si>
    <t>EXT 10M AMARL HOMELIGHT</t>
  </si>
  <si>
    <t>EXT 5M AMARL HOMELIGHT</t>
  </si>
  <si>
    <t>BRUÑA INT/ESQUIN 5.5PLG HIPPO</t>
  </si>
  <si>
    <t>PLANCHA EMPAST 280X155MM PROFIELD</t>
  </si>
  <si>
    <t>VALVULA COC GAS ALTA PRES PGAS</t>
  </si>
  <si>
    <t>ESCOBILLA FIERRO 105MM WINGS</t>
  </si>
  <si>
    <t>ALICATE CORTE 6PLG</t>
  </si>
  <si>
    <t>CATALOGA DPRODUCTOS</t>
  </si>
  <si>
    <t>UN. DMEDIDA</t>
  </si>
  <si>
    <t>PLST TRANSP 1RA 1.60M AN</t>
  </si>
  <si>
    <t>PLST TRANSP 1RA 1.30M AN</t>
  </si>
  <si>
    <t>MTR</t>
  </si>
  <si>
    <t>NIU</t>
  </si>
  <si>
    <t>PLST DBL CLR GSO 4M AN</t>
  </si>
  <si>
    <t>PLST DBL CLR GSO 3M AN</t>
  </si>
  <si>
    <t>PLST DBL CLR GSO 2M AN</t>
  </si>
  <si>
    <t>PLST CLR 1RA 1.30M AN</t>
  </si>
  <si>
    <t>DUCHA PLST C/CANASTILLA</t>
  </si>
  <si>
    <t>APLIC P/SILICONA WINGS</t>
  </si>
  <si>
    <t>FORMON D/GOLPE 1/2 3/4 1PLG</t>
  </si>
  <si>
    <t>SET</t>
  </si>
  <si>
    <t>INTERRUP DBL EMPTR</t>
  </si>
  <si>
    <t>INTERRUP SIMPLE EMPTR</t>
  </si>
  <si>
    <t>CINTA AISLANTE PEQ MPNORTE</t>
  </si>
  <si>
    <t>PEGAMNT AFRICANO MED</t>
  </si>
  <si>
    <t>PEGAMNT AFRICANO PEQ</t>
  </si>
  <si>
    <t>CINTA MSKTP 1.5PLG MPNORTE</t>
  </si>
  <si>
    <t>GUANTES D/LAVAR S/M/L</t>
  </si>
  <si>
    <t>PR</t>
  </si>
  <si>
    <t>PAR</t>
  </si>
  <si>
    <t>JUEGO</t>
  </si>
  <si>
    <t>BADILEJO MANGO GOMA 7PLG PROFIELD</t>
  </si>
  <si>
    <t>GUANTES INDUSTRIAL CE9</t>
  </si>
  <si>
    <t>ESPATULA MANGO MADERA 4PLG PROFIELD</t>
  </si>
  <si>
    <t>ACCESORIOS PLST SANI</t>
  </si>
  <si>
    <t>PLANCHA DESARM D/GOLPE</t>
  </si>
  <si>
    <t>ADAPT NEGRO EPEM</t>
  </si>
  <si>
    <t>ADAPT TRIPLE EPEM</t>
  </si>
  <si>
    <t>ENCHF NEGRO EPEM</t>
  </si>
  <si>
    <t>ENCHF CLR EPEM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</si>
  <si>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</si>
  <si>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</si>
  <si>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</si>
  <si>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</si>
  <si>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</si>
  <si>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</si>
  <si>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</si>
  <si>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</si>
  <si>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</si>
  <si>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</si>
  <si>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</si>
  <si>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</si>
  <si>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</si>
  <si>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</si>
  <si>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</si>
  <si>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</si>
  <si>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</si>
  <si>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</si>
  <si>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</si>
  <si>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</si>
  <si>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</si>
  <si>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</si>
  <si>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</si>
  <si>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</si>
  <si>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</si>
  <si>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</si>
  <si>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</si>
  <si>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</si>
  <si>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</si>
  <si>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</si>
  <si>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</si>
  <si>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</si>
  <si>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</si>
  <si>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</si>
  <si>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</si>
  <si>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</si>
  <si>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</si>
  <si>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</si>
  <si>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</si>
  <si>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PR040</t>
  </si>
  <si>
    <t>PR041</t>
  </si>
  <si>
    <t>PR042</t>
  </si>
  <si>
    <t>PR043</t>
  </si>
  <si>
    <t>PR044</t>
  </si>
  <si>
    <t>PR045</t>
  </si>
  <si>
    <t>PR046</t>
  </si>
  <si>
    <t>PR047</t>
  </si>
  <si>
    <t>PR048</t>
  </si>
  <si>
    <t>PR049</t>
  </si>
  <si>
    <t>PR050</t>
  </si>
  <si>
    <t>PR051</t>
  </si>
  <si>
    <t>PR052</t>
  </si>
  <si>
    <t>PR053</t>
  </si>
  <si>
    <t>PR054</t>
  </si>
  <si>
    <t>PR055</t>
  </si>
  <si>
    <t>PR056</t>
  </si>
  <si>
    <t>PR057</t>
  </si>
  <si>
    <t>PR058</t>
  </si>
  <si>
    <t>PR059</t>
  </si>
  <si>
    <t>PR060</t>
  </si>
  <si>
    <t>PR061</t>
  </si>
  <si>
    <t>PR062</t>
  </si>
  <si>
    <t>PR063</t>
  </si>
  <si>
    <t>PR064</t>
  </si>
  <si>
    <t>PR065</t>
  </si>
  <si>
    <t>PR066</t>
  </si>
  <si>
    <t>PR067</t>
  </si>
  <si>
    <t>PR068</t>
  </si>
  <si>
    <t>PR069</t>
  </si>
  <si>
    <t>PR070</t>
  </si>
  <si>
    <t>PR071</t>
  </si>
  <si>
    <t>PR072</t>
  </si>
  <si>
    <t>PR073</t>
  </si>
  <si>
    <t>PR074</t>
  </si>
  <si>
    <t>PR075</t>
  </si>
  <si>
    <t>PR076</t>
  </si>
  <si>
    <t>PR077</t>
  </si>
  <si>
    <t>PR078</t>
  </si>
  <si>
    <t>PR079</t>
  </si>
  <si>
    <t>PR080</t>
  </si>
  <si>
    <t>PR081</t>
  </si>
  <si>
    <t>PR082</t>
  </si>
  <si>
    <t>PR083</t>
  </si>
  <si>
    <t>PR084</t>
  </si>
  <si>
    <t>PR085</t>
  </si>
  <si>
    <t>PR086</t>
  </si>
  <si>
    <t>PR087</t>
  </si>
  <si>
    <t>PR088</t>
  </si>
  <si>
    <t>PR089</t>
  </si>
  <si>
    <t>PR090</t>
  </si>
  <si>
    <t>PR091</t>
  </si>
  <si>
    <t>PR092</t>
  </si>
  <si>
    <t>PR093</t>
  </si>
  <si>
    <t>PR094</t>
  </si>
  <si>
    <t>PR095</t>
  </si>
  <si>
    <t>PR096</t>
  </si>
  <si>
    <t>PR097</t>
  </si>
  <si>
    <t>PR098</t>
  </si>
  <si>
    <t>PR099</t>
  </si>
  <si>
    <t>PR100</t>
  </si>
  <si>
    <t>TI01</t>
  </si>
  <si>
    <t>TIPO B/S</t>
  </si>
  <si>
    <t>UNID/MED</t>
  </si>
  <si>
    <t>HULE D/MESA ESTAMP</t>
  </si>
  <si>
    <t>HULE D/MESA BRILLOSO</t>
  </si>
  <si>
    <t>HULE D/MESA TRANSP MICA N8</t>
  </si>
  <si>
    <t>HULE D/MESA TRANSP MICA N6</t>
  </si>
  <si>
    <t>HULE D/MESA TRANSP MICA N4</t>
  </si>
  <si>
    <t>PLST D/CLR RECUP 3M AN</t>
  </si>
  <si>
    <t>PLST D/CLR RECUP 2M AN</t>
  </si>
  <si>
    <t>PLST D/CLR RECUP 1.60M AN</t>
  </si>
  <si>
    <t>PLST D/CLR RECUP 1.30M AN</t>
  </si>
  <si>
    <t>LLAV JARD/1/2PLG PVC PLST</t>
  </si>
  <si>
    <t>LLAVE PICO LAVAD/FLEXIBLE</t>
  </si>
  <si>
    <t>TMTRES P/EXTENS PERU</t>
  </si>
  <si>
    <t>TMCUATRO P/EXTENS PERU</t>
  </si>
  <si>
    <t>DESARM GD DBL PUNTA</t>
  </si>
  <si>
    <t>CINTA D/EMBALAJE 300YD</t>
  </si>
  <si>
    <t>CINTA D/EMBALAJE 200YD</t>
  </si>
  <si>
    <t>CINTA D/EMBALAJE 90YD</t>
  </si>
  <si>
    <t>CINTA D/EMBALAJE 50YD</t>
  </si>
  <si>
    <t>TIJERA LEON D/PELO</t>
  </si>
  <si>
    <t>TUBO D/LUZ 3/4PLG</t>
  </si>
  <si>
    <t>TUBO D/LUZ 5/8PLG</t>
  </si>
  <si>
    <t>CINTA AISLANTE GD MPNORTE</t>
  </si>
  <si>
    <t>ROLLO CINTA FILM 0.9KG 9PLG</t>
  </si>
  <si>
    <t>GLL</t>
  </si>
  <si>
    <t>CATEGORÍA</t>
  </si>
  <si>
    <t>Bolsas</t>
  </si>
  <si>
    <t>PlasticoDeMesa</t>
  </si>
  <si>
    <t>Ferreteria</t>
  </si>
  <si>
    <t>Variedades</t>
  </si>
  <si>
    <t>Limpieza</t>
  </si>
  <si>
    <t>Electricidad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</si>
</sst>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S/&quot;\ #,##0.00"/>
    <numFmt numFmtId="165" formatCode="&quot;S/&quot;\ #,##0.0000"/>
    <numFmt numFmtId="166" formatCode="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9" fontId="3" fillId="4" borderId="1" xfId="0" applyNumberFormat="1" applyFont="1" applyFill="1" applyBorder="1"/>
    <xf numFmtId="164" fontId="1" fillId="3" borderId="3" xfId="0" applyNumberFormat="1" applyFont="1" applyFill="1" applyBorder="1" applyAlignment="1">
      <alignment horizontal="right" vertical="center"/>
    </xf>
    <xf numFmtId="9" fontId="3" fillId="4" borderId="4" xfId="0" applyNumberFormat="1" applyFont="1" applyFill="1" applyBorder="1"/>
    <xf numFmtId="49" fontId="0" fillId="4" borderId="6" xfId="0" applyNumberFormat="1" applyFill="1" applyBorder="1" applyAlignment="1">
      <alignment horizontal="right" vertical="center"/>
    </xf>
    <xf numFmtId="9" fontId="3" fillId="4" borderId="7" xfId="0" applyNumberFormat="1" applyFont="1" applyFill="1" applyBorder="1"/>
    <xf numFmtId="164" fontId="1" fillId="3" borderId="8" xfId="0" applyNumberFormat="1" applyFont="1" applyFill="1" applyBorder="1"/>
    <xf numFmtId="0" fontId="1" fillId="5" borderId="12" xfId="0" applyFont="1" applyFill="1" applyBorder="1"/>
    <xf numFmtId="0" fontId="1" fillId="5" borderId="2" xfId="0" applyFont="1" applyFill="1" applyBorder="1"/>
    <xf numFmtId="0" fontId="1" fillId="5" borderId="13" xfId="0" applyFont="1" applyFill="1" applyBorder="1"/>
    <xf numFmtId="164" fontId="1" fillId="3" borderId="3" xfId="0" applyNumberFormat="1" applyFont="1" applyFill="1" applyBorder="1"/>
    <xf numFmtId="164" fontId="1" fillId="3" borderId="5" xfId="0" applyNumberFormat="1" applyFont="1" applyFill="1" applyBorder="1"/>
    <xf numFmtId="165" fontId="1" fillId="4" borderId="7" xfId="0" applyNumberFormat="1" applyFont="1" applyFill="1" applyBorder="1" applyAlignment="1">
      <alignment horizontal="right" vertical="center"/>
    </xf>
    <xf numFmtId="165" fontId="1" fillId="4" borderId="1" xfId="0" applyNumberFormat="1" applyFont="1" applyFill="1" applyBorder="1" applyAlignment="1">
      <alignment horizontal="right" vertical="center"/>
    </xf>
    <xf numFmtId="2" fontId="1" fillId="5" borderId="2" xfId="0" applyNumberFormat="1" applyFont="1" applyFill="1" applyBorder="1"/>
    <xf numFmtId="166" fontId="1" fillId="5" borderId="7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0" borderId="0" xfId="0" applyFill="1"/>
    <xf numFmtId="0" fontId="0" fillId="4" borderId="1" xfId="0" applyFill="1" applyBorder="1" applyAlignment="1">
      <alignment horizontal="right" vertical="center"/>
    </xf>
    <xf numFmtId="0" fontId="0" fillId="4" borderId="7" xfId="0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4" borderId="4" xfId="0" applyFill="1" applyBorder="1" applyAlignment="1">
      <alignment horizontal="right" vertical="center"/>
    </xf>
    <xf numFmtId="0" fontId="0" fillId="4" borderId="14" xfId="0" applyFill="1" applyBorder="1" applyAlignment="1">
      <alignment horizontal="right" vertical="center"/>
    </xf>
    <xf numFmtId="0" fontId="0" fillId="4" borderId="15" xfId="0" applyFill="1" applyBorder="1" applyAlignment="1">
      <alignment horizontal="right" vertic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0" fillId="4" borderId="7" xfId="0" applyFill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3B6B-4D71-4751-A92A-D40930BB800C}">
  <sheetPr codeName="Hoja1">
    <pageSetUpPr fitToPage="1"/>
  </sheetPr>
  <dimension ref="C1:P103"/>
  <sheetViews>
    <sheetView tabSelected="1" topLeftCell="A13" zoomScale="85" zoomScaleNormal="85" workbookViewId="0">
      <selection activeCell="O47" sqref="O47"/>
    </sheetView>
  </sheetViews>
  <sheetFormatPr baseColWidth="10" defaultRowHeight="14.4" x14ac:dyDescent="0.3"/>
  <cols>
    <col min="4" max="4" width="0" hidden="1" customWidth="1"/>
    <col min="5" max="5" width="14.6640625" bestFit="1" customWidth="1"/>
    <col min="9" max="9" width="6.88671875" customWidth="1"/>
    <col min="10" max="10" width="11.21875" hidden="1" customWidth="1"/>
    <col min="11" max="12" width="11.21875" customWidth="1"/>
    <col min="13" max="13" width="15.33203125" customWidth="1"/>
    <col min="15" max="15" width="16.5546875" bestFit="1" customWidth="1"/>
  </cols>
  <sheetData>
    <row r="1" spans="3:16" ht="15" thickBot="1" x14ac:dyDescent="0.35"/>
    <row r="2" spans="3:16" ht="15" thickBot="1" x14ac:dyDescent="0.35">
      <c r="C2" s="28" t="s">
        <v>61</v>
      </c>
      <c r="D2" s="29"/>
      <c r="E2" s="29"/>
      <c r="F2" s="30"/>
      <c r="G2" s="30"/>
      <c r="H2" s="30"/>
      <c r="I2" s="30"/>
      <c r="J2" s="30"/>
      <c r="K2" s="30"/>
      <c r="L2" s="30"/>
      <c r="M2" s="30"/>
      <c r="N2" s="30"/>
      <c r="O2" s="31"/>
    </row>
    <row r="3" spans="3:16" ht="15" thickBot="1" x14ac:dyDescent="0.35">
      <c r="C3" s="7" t="s">
        <v>0</v>
      </c>
      <c r="D3" s="8" t="s">
        <v>62</v>
      </c>
      <c r="E3" s="8" t="s">
        <v>221</v>
      </c>
      <c r="F3" s="25" t="s">
        <v>1</v>
      </c>
      <c r="G3" s="26"/>
      <c r="H3" s="26"/>
      <c r="I3" s="26"/>
      <c r="J3" s="8" t="s">
        <v>5</v>
      </c>
      <c r="K3" s="8" t="s">
        <v>195</v>
      </c>
      <c r="L3" s="8" t="s">
        <v>196</v>
      </c>
      <c r="M3" s="14" t="s">
        <v>15</v>
      </c>
      <c r="N3" s="8" t="s">
        <v>6</v>
      </c>
      <c r="O3" s="9" t="s">
        <v>7</v>
      </c>
    </row>
    <row r="4" spans="3:16" x14ac:dyDescent="0.3">
      <c r="C4" s="4" t="s">
        <v>94</v>
      </c>
      <c r="D4" s="20" t="s">
        <v>2</v>
      </c>
      <c r="E4" s="17" t="s">
        <v>223</v>
      </c>
      <c r="F4" s="27" t="s">
        <v>197</v>
      </c>
      <c r="G4" s="27"/>
      <c r="H4" s="27"/>
      <c r="I4" s="27"/>
      <c r="J4" s="12">
        <f>O4/1.18</f>
        <v>7.6271186440677967</v>
      </c>
      <c r="K4" s="12" t="s">
        <v>194</v>
      </c>
      <c r="L4" s="17" t="s">
        <v>65</v>
      </c>
      <c r="M4" s="15">
        <f>J4+0.0001</f>
        <v>7.6272186440677965</v>
      </c>
      <c r="N4" s="5">
        <v>0.18</v>
      </c>
      <c r="O4" s="6">
        <v>9</v>
      </c>
    </row>
    <row r="5" spans="3:16" x14ac:dyDescent="0.3">
      <c r="C5" s="4" t="s">
        <v>95</v>
      </c>
      <c r="D5" s="19" t="s">
        <v>2</v>
      </c>
      <c r="E5" s="20" t="s">
        <v>223</v>
      </c>
      <c r="F5" s="27" t="s">
        <v>198</v>
      </c>
      <c r="G5" s="27"/>
      <c r="H5" s="27"/>
      <c r="I5" s="27"/>
      <c r="J5" s="13">
        <f t="shared" ref="J5:J74" si="0">O5/1.18</f>
        <v>10.593220338983052</v>
      </c>
      <c r="K5" s="12" t="s">
        <v>194</v>
      </c>
      <c r="L5" s="17" t="s">
        <v>65</v>
      </c>
      <c r="M5" s="15">
        <f t="shared" ref="M5:M73" si="1">J5+0.0001</f>
        <v>10.593320338983052</v>
      </c>
      <c r="N5" s="1">
        <v>0.18</v>
      </c>
      <c r="O5" s="10">
        <v>12.5</v>
      </c>
    </row>
    <row r="6" spans="3:16" x14ac:dyDescent="0.3">
      <c r="C6" s="4" t="s">
        <v>96</v>
      </c>
      <c r="D6" s="19" t="s">
        <v>2</v>
      </c>
      <c r="E6" s="20" t="s">
        <v>223</v>
      </c>
      <c r="F6" s="21" t="s">
        <v>199</v>
      </c>
      <c r="G6" s="21"/>
      <c r="H6" s="21"/>
      <c r="I6" s="21"/>
      <c r="J6" s="13">
        <f t="shared" si="0"/>
        <v>11.440677966101696</v>
      </c>
      <c r="K6" s="12" t="s">
        <v>194</v>
      </c>
      <c r="L6" s="17" t="s">
        <v>65</v>
      </c>
      <c r="M6" s="15">
        <f t="shared" si="1"/>
        <v>11.440777966101695</v>
      </c>
      <c r="N6" s="1">
        <v>0.18</v>
      </c>
      <c r="O6" s="10">
        <v>13.5</v>
      </c>
    </row>
    <row r="7" spans="3:16" x14ac:dyDescent="0.3">
      <c r="C7" s="4" t="s">
        <v>97</v>
      </c>
      <c r="D7" s="19" t="s">
        <v>2</v>
      </c>
      <c r="E7" s="20" t="s">
        <v>223</v>
      </c>
      <c r="F7" s="21" t="s">
        <v>200</v>
      </c>
      <c r="G7" s="21"/>
      <c r="H7" s="21"/>
      <c r="I7" s="21"/>
      <c r="J7" s="13">
        <f t="shared" si="0"/>
        <v>10.593220338983052</v>
      </c>
      <c r="K7" s="12" t="s">
        <v>194</v>
      </c>
      <c r="L7" s="17" t="s">
        <v>65</v>
      </c>
      <c r="M7" s="15">
        <f t="shared" si="1"/>
        <v>10.593320338983052</v>
      </c>
      <c r="N7" s="1">
        <v>0.18</v>
      </c>
      <c r="O7" s="10">
        <v>12.5</v>
      </c>
    </row>
    <row r="8" spans="3:16" x14ac:dyDescent="0.3">
      <c r="C8" s="4" t="s">
        <v>98</v>
      </c>
      <c r="D8" s="19" t="s">
        <v>2</v>
      </c>
      <c r="E8" s="20" t="s">
        <v>223</v>
      </c>
      <c r="F8" s="21" t="s">
        <v>201</v>
      </c>
      <c r="G8" s="21"/>
      <c r="H8" s="21"/>
      <c r="I8" s="21"/>
      <c r="J8" s="13">
        <f t="shared" si="0"/>
        <v>8.4745762711864412</v>
      </c>
      <c r="K8" s="12" t="s">
        <v>194</v>
      </c>
      <c r="L8" s="17" t="s">
        <v>65</v>
      </c>
      <c r="M8" s="15">
        <f t="shared" si="1"/>
        <v>8.474676271186441</v>
      </c>
      <c r="N8" s="1">
        <v>0.18</v>
      </c>
      <c r="O8" s="10">
        <v>10</v>
      </c>
    </row>
    <row r="9" spans="3:16" x14ac:dyDescent="0.3">
      <c r="C9" s="4" t="s">
        <v>99</v>
      </c>
      <c r="D9" s="19" t="s">
        <v>2</v>
      </c>
      <c r="E9" s="20" t="s">
        <v>223</v>
      </c>
      <c r="F9" s="23" t="s">
        <v>67</v>
      </c>
      <c r="G9" s="24"/>
      <c r="H9" s="24"/>
      <c r="I9" s="24"/>
      <c r="J9" s="13">
        <f t="shared" si="0"/>
        <v>8.0508474576271194</v>
      </c>
      <c r="K9" s="12" t="s">
        <v>194</v>
      </c>
      <c r="L9" s="17" t="s">
        <v>65</v>
      </c>
      <c r="M9" s="15">
        <f t="shared" si="1"/>
        <v>8.0509474576271192</v>
      </c>
      <c r="N9" s="1">
        <v>0.18</v>
      </c>
      <c r="O9" s="10">
        <v>9.5</v>
      </c>
    </row>
    <row r="10" spans="3:16" x14ac:dyDescent="0.3">
      <c r="C10" s="4" t="s">
        <v>100</v>
      </c>
      <c r="D10" s="19" t="s">
        <v>2</v>
      </c>
      <c r="E10" s="20" t="s">
        <v>223</v>
      </c>
      <c r="F10" s="23" t="s">
        <v>68</v>
      </c>
      <c r="G10" s="24"/>
      <c r="H10" s="24"/>
      <c r="I10" s="24"/>
      <c r="J10" s="13">
        <f t="shared" si="0"/>
        <v>7.2033898305084749</v>
      </c>
      <c r="K10" s="12" t="s">
        <v>194</v>
      </c>
      <c r="L10" s="17" t="s">
        <v>65</v>
      </c>
      <c r="M10" s="15">
        <f t="shared" si="1"/>
        <v>7.2034898305084747</v>
      </c>
      <c r="N10" s="1">
        <v>0.18</v>
      </c>
      <c r="O10" s="10">
        <v>8.5</v>
      </c>
    </row>
    <row r="11" spans="3:16" x14ac:dyDescent="0.3">
      <c r="C11" s="4" t="s">
        <v>101</v>
      </c>
      <c r="D11" s="19" t="s">
        <v>2</v>
      </c>
      <c r="E11" s="20" t="s">
        <v>223</v>
      </c>
      <c r="F11" s="21" t="s">
        <v>69</v>
      </c>
      <c r="G11" s="21"/>
      <c r="H11" s="21"/>
      <c r="I11" s="21"/>
      <c r="J11" s="13">
        <f t="shared" si="0"/>
        <v>5.9322033898305087</v>
      </c>
      <c r="K11" s="12" t="s">
        <v>194</v>
      </c>
      <c r="L11" s="17" t="s">
        <v>65</v>
      </c>
      <c r="M11" s="15">
        <f t="shared" si="1"/>
        <v>5.9323033898305084</v>
      </c>
      <c r="N11" s="1">
        <v>0.18</v>
      </c>
      <c r="O11" s="10">
        <v>7</v>
      </c>
    </row>
    <row r="12" spans="3:16" x14ac:dyDescent="0.3">
      <c r="C12" s="4" t="s">
        <v>102</v>
      </c>
      <c r="D12" s="19" t="s">
        <v>2</v>
      </c>
      <c r="E12" s="20" t="s">
        <v>223</v>
      </c>
      <c r="F12" s="21" t="s">
        <v>202</v>
      </c>
      <c r="G12" s="21"/>
      <c r="H12" s="21"/>
      <c r="I12" s="21"/>
      <c r="J12" s="13">
        <f t="shared" si="0"/>
        <v>6.3559322033898304</v>
      </c>
      <c r="K12" s="12" t="s">
        <v>194</v>
      </c>
      <c r="L12" s="17" t="s">
        <v>65</v>
      </c>
      <c r="M12" s="15">
        <f t="shared" si="1"/>
        <v>6.3560322033898302</v>
      </c>
      <c r="N12" s="1">
        <v>0.18</v>
      </c>
      <c r="O12" s="10">
        <v>7.5</v>
      </c>
      <c r="P12" s="18"/>
    </row>
    <row r="13" spans="3:16" x14ac:dyDescent="0.3">
      <c r="C13" s="4" t="s">
        <v>103</v>
      </c>
      <c r="D13" s="19" t="s">
        <v>2</v>
      </c>
      <c r="E13" s="20" t="s">
        <v>223</v>
      </c>
      <c r="F13" s="21" t="s">
        <v>203</v>
      </c>
      <c r="G13" s="21"/>
      <c r="H13" s="21"/>
      <c r="I13" s="21"/>
      <c r="J13" s="13">
        <f t="shared" si="0"/>
        <v>3.8135593220338984</v>
      </c>
      <c r="K13" s="12" t="s">
        <v>194</v>
      </c>
      <c r="L13" s="17" t="s">
        <v>65</v>
      </c>
      <c r="M13" s="15">
        <f t="shared" si="1"/>
        <v>3.8136593220338986</v>
      </c>
      <c r="N13" s="1">
        <v>0.18</v>
      </c>
      <c r="O13" s="2">
        <v>4.5</v>
      </c>
      <c r="P13" s="18"/>
    </row>
    <row r="14" spans="3:16" x14ac:dyDescent="0.3">
      <c r="C14" s="4" t="s">
        <v>104</v>
      </c>
      <c r="D14" s="19" t="s">
        <v>2</v>
      </c>
      <c r="E14" s="20" t="s">
        <v>223</v>
      </c>
      <c r="F14" s="21" t="s">
        <v>204</v>
      </c>
      <c r="G14" s="21"/>
      <c r="H14" s="21"/>
      <c r="I14" s="21"/>
      <c r="J14" s="13">
        <f t="shared" si="0"/>
        <v>2.9661016949152543</v>
      </c>
      <c r="K14" s="12" t="s">
        <v>194</v>
      </c>
      <c r="L14" s="17" t="s">
        <v>65</v>
      </c>
      <c r="M14" s="15">
        <f t="shared" si="1"/>
        <v>2.9662016949152545</v>
      </c>
      <c r="N14" s="1">
        <v>0.18</v>
      </c>
      <c r="O14" s="2">
        <v>3.5</v>
      </c>
      <c r="P14" s="18"/>
    </row>
    <row r="15" spans="3:16" x14ac:dyDescent="0.3">
      <c r="C15" s="4" t="s">
        <v>105</v>
      </c>
      <c r="D15" s="19" t="s">
        <v>2</v>
      </c>
      <c r="E15" s="20" t="s">
        <v>223</v>
      </c>
      <c r="F15" s="21" t="s">
        <v>205</v>
      </c>
      <c r="G15" s="21"/>
      <c r="H15" s="21"/>
      <c r="I15" s="21"/>
      <c r="J15" s="13">
        <f>O15/1.18</f>
        <v>2.1186440677966103</v>
      </c>
      <c r="K15" s="12" t="s">
        <v>194</v>
      </c>
      <c r="L15" s="17" t="s">
        <v>65</v>
      </c>
      <c r="M15" s="15">
        <f t="shared" si="1"/>
        <v>2.1187440677966105</v>
      </c>
      <c r="N15" s="1">
        <v>0.18</v>
      </c>
      <c r="O15" s="2">
        <v>2.5</v>
      </c>
      <c r="P15" s="18"/>
    </row>
    <row r="16" spans="3:16" x14ac:dyDescent="0.3">
      <c r="C16" s="4" t="s">
        <v>106</v>
      </c>
      <c r="D16" s="19" t="s">
        <v>2</v>
      </c>
      <c r="E16" s="20" t="s">
        <v>223</v>
      </c>
      <c r="F16" s="21" t="s">
        <v>63</v>
      </c>
      <c r="G16" s="21"/>
      <c r="H16" s="21"/>
      <c r="I16" s="21"/>
      <c r="J16" s="13">
        <f t="shared" ref="J16:J18" si="2">O16/1.18</f>
        <v>4.2372881355932206</v>
      </c>
      <c r="K16" s="12" t="s">
        <v>194</v>
      </c>
      <c r="L16" s="17" t="s">
        <v>65</v>
      </c>
      <c r="M16" s="15">
        <f t="shared" si="1"/>
        <v>4.2373881355932204</v>
      </c>
      <c r="N16" s="1">
        <v>0.18</v>
      </c>
      <c r="O16" s="10">
        <v>5</v>
      </c>
      <c r="P16" s="18"/>
    </row>
    <row r="17" spans="3:16" x14ac:dyDescent="0.3">
      <c r="C17" s="4" t="s">
        <v>107</v>
      </c>
      <c r="D17" s="19" t="s">
        <v>2</v>
      </c>
      <c r="E17" s="20" t="s">
        <v>223</v>
      </c>
      <c r="F17" s="21" t="s">
        <v>64</v>
      </c>
      <c r="G17" s="21"/>
      <c r="H17" s="21"/>
      <c r="I17" s="21"/>
      <c r="J17" s="13">
        <f t="shared" si="2"/>
        <v>2.9661016949152543</v>
      </c>
      <c r="K17" s="12" t="s">
        <v>194</v>
      </c>
      <c r="L17" s="17" t="s">
        <v>65</v>
      </c>
      <c r="M17" s="15">
        <f t="shared" si="1"/>
        <v>2.9662016949152545</v>
      </c>
      <c r="N17" s="1">
        <v>0.18</v>
      </c>
      <c r="O17" s="10">
        <v>3.5</v>
      </c>
      <c r="P17" s="18"/>
    </row>
    <row r="18" spans="3:16" x14ac:dyDescent="0.3">
      <c r="C18" s="4" t="s">
        <v>108</v>
      </c>
      <c r="D18" s="19" t="s">
        <v>2</v>
      </c>
      <c r="E18" s="20" t="s">
        <v>223</v>
      </c>
      <c r="F18" s="21" t="s">
        <v>70</v>
      </c>
      <c r="G18" s="21"/>
      <c r="H18" s="21"/>
      <c r="I18" s="21"/>
      <c r="J18" s="13">
        <f t="shared" si="2"/>
        <v>2.1186440677966103</v>
      </c>
      <c r="K18" s="12" t="s">
        <v>194</v>
      </c>
      <c r="L18" s="17" t="s">
        <v>65</v>
      </c>
      <c r="M18" s="15">
        <f t="shared" si="1"/>
        <v>2.1187440677966105</v>
      </c>
      <c r="N18" s="1">
        <v>0.18</v>
      </c>
      <c r="O18" s="10">
        <v>2.5</v>
      </c>
      <c r="P18" s="18"/>
    </row>
    <row r="19" spans="3:16" x14ac:dyDescent="0.3">
      <c r="C19" s="4" t="s">
        <v>109</v>
      </c>
      <c r="D19" s="19" t="s">
        <v>3</v>
      </c>
      <c r="E19" s="20" t="s">
        <v>225</v>
      </c>
      <c r="F19" s="23" t="s">
        <v>45</v>
      </c>
      <c r="G19" s="24"/>
      <c r="H19" s="24"/>
      <c r="I19" s="24"/>
      <c r="J19" s="13">
        <f t="shared" si="0"/>
        <v>23.728813559322035</v>
      </c>
      <c r="K19" s="12" t="s">
        <v>194</v>
      </c>
      <c r="L19" s="16" t="s">
        <v>66</v>
      </c>
      <c r="M19" s="15">
        <f t="shared" si="1"/>
        <v>23.728913559322034</v>
      </c>
      <c r="N19" s="1">
        <v>0.18</v>
      </c>
      <c r="O19" s="10">
        <v>28</v>
      </c>
      <c r="P19" s="18"/>
    </row>
    <row r="20" spans="3:16" x14ac:dyDescent="0.3">
      <c r="C20" s="4" t="s">
        <v>110</v>
      </c>
      <c r="D20" s="19" t="s">
        <v>3</v>
      </c>
      <c r="E20" s="20" t="s">
        <v>225</v>
      </c>
      <c r="F20" s="23" t="s">
        <v>46</v>
      </c>
      <c r="G20" s="24"/>
      <c r="H20" s="24"/>
      <c r="I20" s="24"/>
      <c r="J20" s="13">
        <f t="shared" si="0"/>
        <v>22.033898305084747</v>
      </c>
      <c r="K20" s="12" t="s">
        <v>194</v>
      </c>
      <c r="L20" s="16" t="s">
        <v>66</v>
      </c>
      <c r="M20" s="15">
        <f t="shared" si="1"/>
        <v>22.033998305084747</v>
      </c>
      <c r="N20" s="1">
        <v>0.18</v>
      </c>
      <c r="O20" s="10">
        <v>26</v>
      </c>
      <c r="P20" s="18"/>
    </row>
    <row r="21" spans="3:16" x14ac:dyDescent="0.3">
      <c r="C21" s="4" t="s">
        <v>111</v>
      </c>
      <c r="D21" s="19" t="s">
        <v>3</v>
      </c>
      <c r="E21" s="20" t="s">
        <v>225</v>
      </c>
      <c r="F21" s="23" t="s">
        <v>47</v>
      </c>
      <c r="G21" s="24"/>
      <c r="H21" s="24"/>
      <c r="I21" s="24"/>
      <c r="J21" s="13">
        <f t="shared" si="0"/>
        <v>21.186440677966104</v>
      </c>
      <c r="K21" s="12" t="s">
        <v>194</v>
      </c>
      <c r="L21" s="16" t="s">
        <v>66</v>
      </c>
      <c r="M21" s="15">
        <f t="shared" si="1"/>
        <v>21.186540677966104</v>
      </c>
      <c r="N21" s="1">
        <v>0.18</v>
      </c>
      <c r="O21" s="10">
        <v>25</v>
      </c>
    </row>
    <row r="22" spans="3:16" x14ac:dyDescent="0.3">
      <c r="C22" s="4" t="s">
        <v>112</v>
      </c>
      <c r="D22" s="19" t="s">
        <v>3</v>
      </c>
      <c r="E22" s="20" t="s">
        <v>225</v>
      </c>
      <c r="F22" s="23" t="s">
        <v>219</v>
      </c>
      <c r="G22" s="24"/>
      <c r="H22" s="24"/>
      <c r="I22" s="24"/>
      <c r="J22" s="13">
        <f t="shared" si="0"/>
        <v>14.40677966101695</v>
      </c>
      <c r="K22" s="12" t="s">
        <v>194</v>
      </c>
      <c r="L22" s="16" t="s">
        <v>66</v>
      </c>
      <c r="M22" s="15">
        <f t="shared" si="1"/>
        <v>14.40687966101695</v>
      </c>
      <c r="N22" s="1">
        <v>0.18</v>
      </c>
      <c r="O22" s="10">
        <v>17</v>
      </c>
    </row>
    <row r="23" spans="3:16" x14ac:dyDescent="0.3">
      <c r="C23" s="4" t="s">
        <v>113</v>
      </c>
      <c r="D23" s="19" t="s">
        <v>3</v>
      </c>
      <c r="E23" s="20" t="s">
        <v>225</v>
      </c>
      <c r="F23" s="23" t="s">
        <v>211</v>
      </c>
      <c r="G23" s="24"/>
      <c r="H23" s="24"/>
      <c r="I23" s="24"/>
      <c r="J23" s="13">
        <f t="shared" si="0"/>
        <v>10.593220338983052</v>
      </c>
      <c r="K23" s="12" t="s">
        <v>194</v>
      </c>
      <c r="L23" s="16" t="s">
        <v>66</v>
      </c>
      <c r="M23" s="15">
        <f t="shared" si="1"/>
        <v>10.593320338983052</v>
      </c>
      <c r="N23" s="1">
        <v>0.18</v>
      </c>
      <c r="O23" s="10">
        <v>12.5</v>
      </c>
    </row>
    <row r="24" spans="3:16" x14ac:dyDescent="0.3">
      <c r="C24" s="4" t="s">
        <v>114</v>
      </c>
      <c r="D24" s="19" t="s">
        <v>3</v>
      </c>
      <c r="E24" s="20" t="s">
        <v>225</v>
      </c>
      <c r="F24" s="23" t="s">
        <v>212</v>
      </c>
      <c r="G24" s="24"/>
      <c r="H24" s="24"/>
      <c r="I24" s="24"/>
      <c r="J24" s="13">
        <f t="shared" si="0"/>
        <v>9.3220338983050848</v>
      </c>
      <c r="K24" s="12" t="s">
        <v>194</v>
      </c>
      <c r="L24" s="16" t="s">
        <v>66</v>
      </c>
      <c r="M24" s="15">
        <f t="shared" si="1"/>
        <v>9.3221338983050845</v>
      </c>
      <c r="N24" s="1">
        <v>0.18</v>
      </c>
      <c r="O24" s="10">
        <v>11</v>
      </c>
    </row>
    <row r="25" spans="3:16" x14ac:dyDescent="0.3">
      <c r="C25" s="4" t="s">
        <v>115</v>
      </c>
      <c r="D25" s="19" t="s">
        <v>3</v>
      </c>
      <c r="E25" s="20" t="s">
        <v>225</v>
      </c>
      <c r="F25" s="23" t="s">
        <v>213</v>
      </c>
      <c r="G25" s="24"/>
      <c r="H25" s="24"/>
      <c r="I25" s="24"/>
      <c r="J25" s="13">
        <f t="shared" si="0"/>
        <v>4.2372881355932206</v>
      </c>
      <c r="K25" s="12" t="s">
        <v>194</v>
      </c>
      <c r="L25" s="16" t="s">
        <v>66</v>
      </c>
      <c r="M25" s="15">
        <f t="shared" si="1"/>
        <v>4.2373881355932204</v>
      </c>
      <c r="N25" s="1">
        <v>0.18</v>
      </c>
      <c r="O25" s="10">
        <v>5</v>
      </c>
    </row>
    <row r="26" spans="3:16" x14ac:dyDescent="0.3">
      <c r="C26" s="4" t="s">
        <v>116</v>
      </c>
      <c r="D26" s="19" t="s">
        <v>3</v>
      </c>
      <c r="E26" s="20" t="s">
        <v>225</v>
      </c>
      <c r="F26" s="23" t="s">
        <v>214</v>
      </c>
      <c r="G26" s="24"/>
      <c r="H26" s="24"/>
      <c r="I26" s="24"/>
      <c r="J26" s="13">
        <f t="shared" si="0"/>
        <v>2.1186440677966103</v>
      </c>
      <c r="K26" s="12" t="s">
        <v>194</v>
      </c>
      <c r="L26" s="16" t="s">
        <v>66</v>
      </c>
      <c r="M26" s="15">
        <f t="shared" si="1"/>
        <v>2.1187440677966105</v>
      </c>
      <c r="N26" s="1">
        <v>0.18</v>
      </c>
      <c r="O26" s="10">
        <v>2.5</v>
      </c>
    </row>
    <row r="27" spans="3:16" x14ac:dyDescent="0.3">
      <c r="C27" s="4" t="s">
        <v>117</v>
      </c>
      <c r="D27" s="19" t="s">
        <v>3</v>
      </c>
      <c r="E27" s="20" t="s">
        <v>227</v>
      </c>
      <c r="F27" s="23" t="s">
        <v>8</v>
      </c>
      <c r="G27" s="24"/>
      <c r="H27" s="24"/>
      <c r="I27" s="24"/>
      <c r="J27" s="13">
        <f t="shared" si="0"/>
        <v>18.64406779661017</v>
      </c>
      <c r="K27" s="12" t="s">
        <v>194</v>
      </c>
      <c r="L27" s="16" t="s">
        <v>66</v>
      </c>
      <c r="M27" s="15">
        <f t="shared" si="1"/>
        <v>18.644167796610169</v>
      </c>
      <c r="N27" s="1">
        <v>0.18</v>
      </c>
      <c r="O27" s="10">
        <v>22</v>
      </c>
    </row>
    <row r="28" spans="3:16" x14ac:dyDescent="0.3">
      <c r="C28" s="4" t="s">
        <v>118</v>
      </c>
      <c r="D28" s="19" t="s">
        <v>3</v>
      </c>
      <c r="E28" s="20" t="s">
        <v>227</v>
      </c>
      <c r="F28" s="23" t="s">
        <v>9</v>
      </c>
      <c r="G28" s="24"/>
      <c r="H28" s="24"/>
      <c r="I28" s="24"/>
      <c r="J28" s="13">
        <f t="shared" si="0"/>
        <v>15.254237288135593</v>
      </c>
      <c r="K28" s="12" t="s">
        <v>194</v>
      </c>
      <c r="L28" s="16" t="s">
        <v>66</v>
      </c>
      <c r="M28" s="15">
        <f t="shared" si="1"/>
        <v>15.254337288135593</v>
      </c>
      <c r="N28" s="1">
        <v>0.18</v>
      </c>
      <c r="O28" s="10">
        <v>18</v>
      </c>
    </row>
    <row r="29" spans="3:16" x14ac:dyDescent="0.3">
      <c r="C29" s="4" t="s">
        <v>119</v>
      </c>
      <c r="D29" s="19" t="s">
        <v>3</v>
      </c>
      <c r="E29" s="20" t="s">
        <v>227</v>
      </c>
      <c r="F29" s="23" t="s">
        <v>10</v>
      </c>
      <c r="G29" s="24"/>
      <c r="H29" s="24"/>
      <c r="I29" s="24"/>
      <c r="J29" s="13">
        <f t="shared" si="0"/>
        <v>12.711864406779661</v>
      </c>
      <c r="K29" s="12" t="s">
        <v>194</v>
      </c>
      <c r="L29" s="16" t="s">
        <v>66</v>
      </c>
      <c r="M29" s="15">
        <f t="shared" si="1"/>
        <v>12.711964406779661</v>
      </c>
      <c r="N29" s="1">
        <v>0.18</v>
      </c>
      <c r="O29" s="10">
        <v>15</v>
      </c>
    </row>
    <row r="30" spans="3:16" x14ac:dyDescent="0.3">
      <c r="C30" s="4" t="s">
        <v>120</v>
      </c>
      <c r="D30" s="19" t="s">
        <v>3</v>
      </c>
      <c r="E30" s="20" t="s">
        <v>227</v>
      </c>
      <c r="F30" s="23" t="s">
        <v>4</v>
      </c>
      <c r="G30" s="24"/>
      <c r="H30" s="24"/>
      <c r="I30" s="24"/>
      <c r="J30" s="13">
        <f t="shared" si="0"/>
        <v>11.440677966101696</v>
      </c>
      <c r="K30" s="12" t="s">
        <v>194</v>
      </c>
      <c r="L30" s="16" t="s">
        <v>66</v>
      </c>
      <c r="M30" s="15">
        <f t="shared" si="1"/>
        <v>11.440777966101695</v>
      </c>
      <c r="N30" s="1">
        <v>0.18</v>
      </c>
      <c r="O30" s="10">
        <v>13.5</v>
      </c>
    </row>
    <row r="31" spans="3:16" x14ac:dyDescent="0.3">
      <c r="C31" s="4" t="s">
        <v>121</v>
      </c>
      <c r="D31" s="19" t="s">
        <v>3</v>
      </c>
      <c r="E31" s="20" t="s">
        <v>227</v>
      </c>
      <c r="F31" s="23" t="s">
        <v>11</v>
      </c>
      <c r="G31" s="24"/>
      <c r="H31" s="24"/>
      <c r="I31" s="24"/>
      <c r="J31" s="13">
        <f t="shared" si="0"/>
        <v>10.16949152542373</v>
      </c>
      <c r="K31" s="12" t="s">
        <v>194</v>
      </c>
      <c r="L31" s="16" t="s">
        <v>66</v>
      </c>
      <c r="M31" s="15">
        <f t="shared" si="1"/>
        <v>10.16959152542373</v>
      </c>
      <c r="N31" s="1">
        <v>0.18</v>
      </c>
      <c r="O31" s="10">
        <v>12</v>
      </c>
    </row>
    <row r="32" spans="3:16" x14ac:dyDescent="0.3">
      <c r="C32" s="4" t="s">
        <v>122</v>
      </c>
      <c r="D32" s="19" t="s">
        <v>3</v>
      </c>
      <c r="E32" s="20" t="s">
        <v>227</v>
      </c>
      <c r="F32" s="23" t="s">
        <v>20</v>
      </c>
      <c r="G32" s="24"/>
      <c r="H32" s="24"/>
      <c r="I32" s="24"/>
      <c r="J32" s="13">
        <f t="shared" si="0"/>
        <v>9.3220338983050848</v>
      </c>
      <c r="K32" s="12" t="s">
        <v>194</v>
      </c>
      <c r="L32" s="16" t="s">
        <v>66</v>
      </c>
      <c r="M32" s="15">
        <f t="shared" si="1"/>
        <v>9.3221338983050845</v>
      </c>
      <c r="N32" s="1">
        <v>0.18</v>
      </c>
      <c r="O32" s="10">
        <v>11</v>
      </c>
    </row>
    <row r="33" spans="3:15" x14ac:dyDescent="0.3">
      <c r="C33" s="4" t="s">
        <v>123</v>
      </c>
      <c r="D33" s="19" t="s">
        <v>3</v>
      </c>
      <c r="E33" s="20" t="s">
        <v>227</v>
      </c>
      <c r="F33" s="21" t="s">
        <v>21</v>
      </c>
      <c r="G33" s="21"/>
      <c r="H33" s="21"/>
      <c r="I33" s="21"/>
      <c r="J33" s="13">
        <f t="shared" si="0"/>
        <v>5.9322033898305087</v>
      </c>
      <c r="K33" s="12" t="s">
        <v>194</v>
      </c>
      <c r="L33" s="16" t="s">
        <v>66</v>
      </c>
      <c r="M33" s="15">
        <f t="shared" si="1"/>
        <v>5.9323033898305084</v>
      </c>
      <c r="N33" s="1">
        <v>0.18</v>
      </c>
      <c r="O33" s="10">
        <v>7</v>
      </c>
    </row>
    <row r="34" spans="3:15" x14ac:dyDescent="0.3">
      <c r="C34" s="4" t="s">
        <v>124</v>
      </c>
      <c r="D34" s="19" t="s">
        <v>3</v>
      </c>
      <c r="E34" s="20" t="s">
        <v>227</v>
      </c>
      <c r="F34" s="21" t="s">
        <v>22</v>
      </c>
      <c r="G34" s="21"/>
      <c r="H34" s="21"/>
      <c r="I34" s="21"/>
      <c r="J34" s="13">
        <f t="shared" si="0"/>
        <v>4.2372881355932206</v>
      </c>
      <c r="K34" s="12" t="s">
        <v>194</v>
      </c>
      <c r="L34" s="16" t="s">
        <v>66</v>
      </c>
      <c r="M34" s="15">
        <f t="shared" si="1"/>
        <v>4.2373881355932204</v>
      </c>
      <c r="N34" s="1">
        <v>0.18</v>
      </c>
      <c r="O34" s="10">
        <v>5</v>
      </c>
    </row>
    <row r="35" spans="3:15" x14ac:dyDescent="0.3">
      <c r="C35" s="4" t="s">
        <v>125</v>
      </c>
      <c r="D35" s="19" t="s">
        <v>12</v>
      </c>
      <c r="E35" s="20" t="s">
        <v>226</v>
      </c>
      <c r="F35" s="21" t="s">
        <v>33</v>
      </c>
      <c r="G35" s="21"/>
      <c r="H35" s="21"/>
      <c r="I35" s="21"/>
      <c r="J35" s="13">
        <f t="shared" si="0"/>
        <v>4.2372881355932206</v>
      </c>
      <c r="K35" s="12" t="s">
        <v>194</v>
      </c>
      <c r="L35" s="16" t="s">
        <v>220</v>
      </c>
      <c r="M35" s="15">
        <f t="shared" si="1"/>
        <v>4.2373881355932204</v>
      </c>
      <c r="N35" s="1">
        <v>0.18</v>
      </c>
      <c r="O35" s="10">
        <v>5</v>
      </c>
    </row>
    <row r="36" spans="3:15" x14ac:dyDescent="0.3">
      <c r="C36" s="4" t="s">
        <v>126</v>
      </c>
      <c r="D36" s="19" t="s">
        <v>12</v>
      </c>
      <c r="E36" s="20" t="s">
        <v>226</v>
      </c>
      <c r="F36" s="21" t="s">
        <v>13</v>
      </c>
      <c r="G36" s="21"/>
      <c r="H36" s="21"/>
      <c r="I36" s="21"/>
      <c r="J36" s="13">
        <f t="shared" si="0"/>
        <v>4.2372881355932206</v>
      </c>
      <c r="K36" s="12" t="s">
        <v>194</v>
      </c>
      <c r="L36" s="16" t="s">
        <v>220</v>
      </c>
      <c r="M36" s="15">
        <f>J36+0.0001</f>
        <v>4.2373881355932204</v>
      </c>
      <c r="N36" s="1">
        <v>0.18</v>
      </c>
      <c r="O36" s="10">
        <v>5</v>
      </c>
    </row>
    <row r="37" spans="3:15" x14ac:dyDescent="0.3">
      <c r="C37" s="4" t="s">
        <v>127</v>
      </c>
      <c r="D37" s="19" t="s">
        <v>3</v>
      </c>
      <c r="E37" s="20" t="s">
        <v>227</v>
      </c>
      <c r="F37" s="21" t="s">
        <v>40</v>
      </c>
      <c r="G37" s="21"/>
      <c r="H37" s="21"/>
      <c r="I37" s="21"/>
      <c r="J37" s="13">
        <f t="shared" si="0"/>
        <v>23.728813559322035</v>
      </c>
      <c r="K37" s="12" t="s">
        <v>194</v>
      </c>
      <c r="L37" s="16" t="s">
        <v>66</v>
      </c>
      <c r="M37" s="15">
        <f t="shared" si="1"/>
        <v>23.728913559322034</v>
      </c>
      <c r="N37" s="1">
        <v>0.18</v>
      </c>
      <c r="O37" s="10">
        <v>28</v>
      </c>
    </row>
    <row r="38" spans="3:15" x14ac:dyDescent="0.3">
      <c r="C38" s="4" t="s">
        <v>128</v>
      </c>
      <c r="D38" s="19" t="s">
        <v>3</v>
      </c>
      <c r="E38" s="20" t="s">
        <v>227</v>
      </c>
      <c r="F38" s="23" t="s">
        <v>39</v>
      </c>
      <c r="G38" s="24"/>
      <c r="H38" s="24"/>
      <c r="I38" s="24"/>
      <c r="J38" s="13">
        <f t="shared" si="0"/>
        <v>14.40677966101695</v>
      </c>
      <c r="K38" s="12" t="s">
        <v>194</v>
      </c>
      <c r="L38" s="16" t="s">
        <v>66</v>
      </c>
      <c r="M38" s="15">
        <f t="shared" si="1"/>
        <v>14.40687966101695</v>
      </c>
      <c r="N38" s="1">
        <v>0.18</v>
      </c>
      <c r="O38" s="10">
        <v>17</v>
      </c>
    </row>
    <row r="39" spans="3:15" x14ac:dyDescent="0.3">
      <c r="C39" s="4" t="s">
        <v>129</v>
      </c>
      <c r="D39" s="19" t="s">
        <v>3</v>
      </c>
      <c r="E39" s="20" t="s">
        <v>227</v>
      </c>
      <c r="F39" s="23" t="s">
        <v>41</v>
      </c>
      <c r="G39" s="24"/>
      <c r="H39" s="24"/>
      <c r="I39" s="24"/>
      <c r="J39" s="13">
        <f>O39/1.18</f>
        <v>11.440677966101696</v>
      </c>
      <c r="K39" s="12" t="s">
        <v>194</v>
      </c>
      <c r="L39" s="16" t="s">
        <v>66</v>
      </c>
      <c r="M39" s="15">
        <f t="shared" si="1"/>
        <v>11.440777966101695</v>
      </c>
      <c r="N39" s="1">
        <v>0.18</v>
      </c>
      <c r="O39" s="10">
        <v>13.5</v>
      </c>
    </row>
    <row r="40" spans="3:15" x14ac:dyDescent="0.3">
      <c r="C40" s="4" t="s">
        <v>130</v>
      </c>
      <c r="D40" s="19" t="s">
        <v>3</v>
      </c>
      <c r="E40" s="20" t="s">
        <v>227</v>
      </c>
      <c r="F40" s="21" t="s">
        <v>42</v>
      </c>
      <c r="G40" s="21"/>
      <c r="H40" s="21"/>
      <c r="I40" s="21"/>
      <c r="J40" s="13">
        <f t="shared" si="0"/>
        <v>9.7457627118644066</v>
      </c>
      <c r="K40" s="12" t="s">
        <v>194</v>
      </c>
      <c r="L40" s="16" t="s">
        <v>66</v>
      </c>
      <c r="M40" s="15">
        <f t="shared" si="1"/>
        <v>9.7458627118644063</v>
      </c>
      <c r="N40" s="1">
        <v>0.18</v>
      </c>
      <c r="O40" s="10">
        <v>11.5</v>
      </c>
    </row>
    <row r="41" spans="3:15" x14ac:dyDescent="0.3">
      <c r="C41" s="4" t="s">
        <v>131</v>
      </c>
      <c r="D41" s="19" t="s">
        <v>3</v>
      </c>
      <c r="E41" s="20" t="s">
        <v>227</v>
      </c>
      <c r="F41" s="21" t="s">
        <v>53</v>
      </c>
      <c r="G41" s="21"/>
      <c r="H41" s="21"/>
      <c r="I41" s="21"/>
      <c r="J41" s="13">
        <f t="shared" si="0"/>
        <v>29.661016949152543</v>
      </c>
      <c r="K41" s="12" t="s">
        <v>194</v>
      </c>
      <c r="L41" s="16" t="s">
        <v>66</v>
      </c>
      <c r="M41" s="15">
        <f t="shared" ref="M41:M43" si="3">J41+0.0001</f>
        <v>29.661116949152543</v>
      </c>
      <c r="N41" s="1">
        <v>1.18</v>
      </c>
      <c r="O41" s="10">
        <v>35</v>
      </c>
    </row>
    <row r="42" spans="3:15" x14ac:dyDescent="0.3">
      <c r="C42" s="4" t="s">
        <v>132</v>
      </c>
      <c r="D42" s="19" t="s">
        <v>3</v>
      </c>
      <c r="E42" s="20" t="s">
        <v>227</v>
      </c>
      <c r="F42" s="21" t="s">
        <v>54</v>
      </c>
      <c r="G42" s="21"/>
      <c r="H42" s="21"/>
      <c r="I42" s="21"/>
      <c r="J42" s="13">
        <f t="shared" si="0"/>
        <v>24.152542372881356</v>
      </c>
      <c r="K42" s="12" t="s">
        <v>194</v>
      </c>
      <c r="L42" s="16" t="s">
        <v>66</v>
      </c>
      <c r="M42" s="15">
        <f t="shared" si="3"/>
        <v>24.152642372881356</v>
      </c>
      <c r="N42" s="1">
        <v>2.1800000000000002</v>
      </c>
      <c r="O42" s="10">
        <v>28.5</v>
      </c>
    </row>
    <row r="43" spans="3:15" x14ac:dyDescent="0.3">
      <c r="C43" s="4" t="s">
        <v>133</v>
      </c>
      <c r="D43" s="19" t="s">
        <v>3</v>
      </c>
      <c r="E43" s="20" t="s">
        <v>227</v>
      </c>
      <c r="F43" s="21" t="s">
        <v>55</v>
      </c>
      <c r="G43" s="21"/>
      <c r="H43" s="21"/>
      <c r="I43" s="21"/>
      <c r="J43" s="13">
        <f t="shared" si="0"/>
        <v>16.525423728813561</v>
      </c>
      <c r="K43" s="12" t="s">
        <v>194</v>
      </c>
      <c r="L43" s="16" t="s">
        <v>66</v>
      </c>
      <c r="M43" s="15">
        <f t="shared" si="3"/>
        <v>16.52552372881356</v>
      </c>
      <c r="N43" s="1">
        <v>3.18</v>
      </c>
      <c r="O43" s="10">
        <v>19.5</v>
      </c>
    </row>
    <row r="44" spans="3:15" x14ac:dyDescent="0.3">
      <c r="C44" s="4" t="s">
        <v>134</v>
      </c>
      <c r="D44" s="19" t="s">
        <v>3</v>
      </c>
      <c r="E44" s="20" t="s">
        <v>227</v>
      </c>
      <c r="F44" s="21" t="s">
        <v>38</v>
      </c>
      <c r="G44" s="21"/>
      <c r="H44" s="21"/>
      <c r="I44" s="21"/>
      <c r="J44" s="13">
        <f t="shared" si="0"/>
        <v>6.3559322033898304</v>
      </c>
      <c r="K44" s="12" t="s">
        <v>194</v>
      </c>
      <c r="L44" s="16" t="s">
        <v>66</v>
      </c>
      <c r="M44" s="15">
        <f t="shared" si="1"/>
        <v>6.3560322033898302</v>
      </c>
      <c r="N44" s="1">
        <v>0.18</v>
      </c>
      <c r="O44" s="10">
        <v>7.5</v>
      </c>
    </row>
    <row r="45" spans="3:15" x14ac:dyDescent="0.3">
      <c r="C45" s="4" t="s">
        <v>135</v>
      </c>
      <c r="D45" s="19" t="s">
        <v>3</v>
      </c>
      <c r="E45" s="20" t="s">
        <v>227</v>
      </c>
      <c r="F45" s="21" t="s">
        <v>37</v>
      </c>
      <c r="G45" s="21"/>
      <c r="H45" s="21"/>
      <c r="I45" s="21"/>
      <c r="J45" s="13">
        <f t="shared" si="0"/>
        <v>5.5084745762711869</v>
      </c>
      <c r="K45" s="12" t="s">
        <v>194</v>
      </c>
      <c r="L45" s="16" t="s">
        <v>66</v>
      </c>
      <c r="M45" s="15">
        <f t="shared" si="1"/>
        <v>5.5085745762711866</v>
      </c>
      <c r="N45" s="1">
        <v>0.18</v>
      </c>
      <c r="O45" s="10">
        <v>6.5</v>
      </c>
    </row>
    <row r="46" spans="3:15" x14ac:dyDescent="0.3">
      <c r="C46" s="4" t="s">
        <v>136</v>
      </c>
      <c r="D46" s="19" t="s">
        <v>3</v>
      </c>
      <c r="E46" s="20" t="s">
        <v>227</v>
      </c>
      <c r="F46" s="21" t="s">
        <v>43</v>
      </c>
      <c r="G46" s="21"/>
      <c r="H46" s="21"/>
      <c r="I46" s="21"/>
      <c r="J46" s="13">
        <f t="shared" si="0"/>
        <v>5.5084745762711869</v>
      </c>
      <c r="K46" s="12" t="s">
        <v>194</v>
      </c>
      <c r="L46" s="16" t="s">
        <v>66</v>
      </c>
      <c r="M46" s="15">
        <f t="shared" si="1"/>
        <v>5.5085745762711866</v>
      </c>
      <c r="N46" s="1">
        <v>0.18</v>
      </c>
      <c r="O46" s="10">
        <v>6.5</v>
      </c>
    </row>
    <row r="47" spans="3:15" x14ac:dyDescent="0.3">
      <c r="C47" s="4" t="s">
        <v>137</v>
      </c>
      <c r="D47" s="19" t="s">
        <v>3</v>
      </c>
      <c r="E47" s="20" t="s">
        <v>227</v>
      </c>
      <c r="F47" s="21" t="s">
        <v>75</v>
      </c>
      <c r="G47" s="21"/>
      <c r="H47" s="21"/>
      <c r="I47" s="21"/>
      <c r="J47" s="13">
        <f t="shared" si="0"/>
        <v>6.3559322033898304</v>
      </c>
      <c r="K47" s="12" t="s">
        <v>194</v>
      </c>
      <c r="L47" s="16" t="s">
        <v>66</v>
      </c>
      <c r="M47" s="15">
        <f t="shared" si="1"/>
        <v>6.3560322033898302</v>
      </c>
      <c r="N47" s="1">
        <v>0.18</v>
      </c>
      <c r="O47" s="10">
        <v>7.5</v>
      </c>
    </row>
    <row r="48" spans="3:15" x14ac:dyDescent="0.3">
      <c r="C48" s="4" t="s">
        <v>138</v>
      </c>
      <c r="D48" s="19" t="s">
        <v>3</v>
      </c>
      <c r="E48" s="20" t="s">
        <v>227</v>
      </c>
      <c r="F48" s="21" t="s">
        <v>76</v>
      </c>
      <c r="G48" s="21"/>
      <c r="H48" s="21"/>
      <c r="I48" s="21"/>
      <c r="J48" s="13">
        <f t="shared" si="0"/>
        <v>5.5084745762711869</v>
      </c>
      <c r="K48" s="12" t="s">
        <v>194</v>
      </c>
      <c r="L48" s="16" t="s">
        <v>66</v>
      </c>
      <c r="M48" s="15">
        <f t="shared" si="1"/>
        <v>5.5085745762711866</v>
      </c>
      <c r="N48" s="1">
        <v>0.18</v>
      </c>
      <c r="O48" s="10">
        <v>6.5</v>
      </c>
    </row>
    <row r="49" spans="3:15" x14ac:dyDescent="0.3">
      <c r="C49" s="4" t="s">
        <v>139</v>
      </c>
      <c r="D49" s="19" t="s">
        <v>3</v>
      </c>
      <c r="E49" s="20" t="s">
        <v>227</v>
      </c>
      <c r="F49" s="21" t="s">
        <v>30</v>
      </c>
      <c r="G49" s="21"/>
      <c r="H49" s="21"/>
      <c r="I49" s="21"/>
      <c r="J49" s="13">
        <f t="shared" si="0"/>
        <v>5.5084745762711869</v>
      </c>
      <c r="K49" s="12" t="s">
        <v>194</v>
      </c>
      <c r="L49" s="16" t="s">
        <v>66</v>
      </c>
      <c r="M49" s="15">
        <f t="shared" si="1"/>
        <v>5.5085745762711866</v>
      </c>
      <c r="N49" s="1">
        <v>0.18</v>
      </c>
      <c r="O49" s="10">
        <v>6.5</v>
      </c>
    </row>
    <row r="50" spans="3:15" x14ac:dyDescent="0.3">
      <c r="C50" s="4" t="s">
        <v>140</v>
      </c>
      <c r="D50" s="19" t="s">
        <v>3</v>
      </c>
      <c r="E50" s="20" t="s">
        <v>227</v>
      </c>
      <c r="F50" s="21" t="s">
        <v>14</v>
      </c>
      <c r="G50" s="21"/>
      <c r="H50" s="21"/>
      <c r="I50" s="21"/>
      <c r="J50" s="13">
        <f t="shared" si="0"/>
        <v>3.3898305084745766</v>
      </c>
      <c r="K50" s="12" t="s">
        <v>194</v>
      </c>
      <c r="L50" s="16" t="s">
        <v>66</v>
      </c>
      <c r="M50" s="15">
        <f t="shared" si="1"/>
        <v>3.3899305084745768</v>
      </c>
      <c r="N50" s="1">
        <v>0.18</v>
      </c>
      <c r="O50" s="10">
        <v>4</v>
      </c>
    </row>
    <row r="51" spans="3:15" x14ac:dyDescent="0.3">
      <c r="C51" s="4" t="s">
        <v>141</v>
      </c>
      <c r="D51" s="19" t="s">
        <v>3</v>
      </c>
      <c r="E51" s="20" t="s">
        <v>224</v>
      </c>
      <c r="F51" s="21" t="s">
        <v>23</v>
      </c>
      <c r="G51" s="21"/>
      <c r="H51" s="21"/>
      <c r="I51" s="21"/>
      <c r="J51" s="13">
        <f t="shared" si="0"/>
        <v>12.288135593220339</v>
      </c>
      <c r="K51" s="12" t="s">
        <v>194</v>
      </c>
      <c r="L51" s="16" t="s">
        <v>66</v>
      </c>
      <c r="M51" s="15">
        <f t="shared" si="1"/>
        <v>12.288235593220339</v>
      </c>
      <c r="N51" s="1">
        <v>0.18</v>
      </c>
      <c r="O51" s="10">
        <v>14.5</v>
      </c>
    </row>
    <row r="52" spans="3:15" x14ac:dyDescent="0.3">
      <c r="C52" s="4" t="s">
        <v>142</v>
      </c>
      <c r="D52" s="19" t="s">
        <v>3</v>
      </c>
      <c r="E52" s="20" t="s">
        <v>224</v>
      </c>
      <c r="F52" s="21" t="s">
        <v>48</v>
      </c>
      <c r="G52" s="21"/>
      <c r="H52" s="21"/>
      <c r="I52" s="21"/>
      <c r="J52" s="13">
        <f t="shared" si="0"/>
        <v>11.440677966101696</v>
      </c>
      <c r="K52" s="12" t="s">
        <v>194</v>
      </c>
      <c r="L52" s="16" t="s">
        <v>66</v>
      </c>
      <c r="M52" s="15">
        <f t="shared" si="1"/>
        <v>11.440777966101695</v>
      </c>
      <c r="N52" s="1">
        <v>0.18</v>
      </c>
      <c r="O52" s="10">
        <v>13.5</v>
      </c>
    </row>
    <row r="53" spans="3:15" x14ac:dyDescent="0.3">
      <c r="C53" s="4" t="s">
        <v>143</v>
      </c>
      <c r="D53" s="19" t="s">
        <v>3</v>
      </c>
      <c r="E53" s="20" t="s">
        <v>224</v>
      </c>
      <c r="F53" s="21" t="s">
        <v>206</v>
      </c>
      <c r="G53" s="21"/>
      <c r="H53" s="21"/>
      <c r="I53" s="21"/>
      <c r="J53" s="13">
        <f t="shared" si="0"/>
        <v>9.3220338983050848</v>
      </c>
      <c r="K53" s="12" t="s">
        <v>194</v>
      </c>
      <c r="L53" s="16" t="s">
        <v>66</v>
      </c>
      <c r="M53" s="15">
        <f>J53+0.0001</f>
        <v>9.3221338983050845</v>
      </c>
      <c r="N53" s="1">
        <v>0.18</v>
      </c>
      <c r="O53" s="10">
        <v>11</v>
      </c>
    </row>
    <row r="54" spans="3:15" x14ac:dyDescent="0.3">
      <c r="C54" s="4" t="s">
        <v>144</v>
      </c>
      <c r="D54" s="19" t="s">
        <v>3</v>
      </c>
      <c r="E54" s="20" t="s">
        <v>224</v>
      </c>
      <c r="F54" s="21" t="s">
        <v>49</v>
      </c>
      <c r="G54" s="21"/>
      <c r="H54" s="21"/>
      <c r="I54" s="21"/>
      <c r="J54" s="13">
        <f t="shared" si="0"/>
        <v>11.016949152542374</v>
      </c>
      <c r="K54" s="12" t="s">
        <v>194</v>
      </c>
      <c r="L54" s="16" t="s">
        <v>66</v>
      </c>
      <c r="M54" s="15">
        <f t="shared" si="1"/>
        <v>11.017049152542373</v>
      </c>
      <c r="N54" s="1">
        <v>0.18</v>
      </c>
      <c r="O54" s="10">
        <v>13</v>
      </c>
    </row>
    <row r="55" spans="3:15" x14ac:dyDescent="0.3">
      <c r="C55" s="4" t="s">
        <v>145</v>
      </c>
      <c r="D55" s="19" t="s">
        <v>3</v>
      </c>
      <c r="E55" s="20" t="s">
        <v>224</v>
      </c>
      <c r="F55" s="21" t="s">
        <v>50</v>
      </c>
      <c r="G55" s="21"/>
      <c r="H55" s="21"/>
      <c r="I55" s="21"/>
      <c r="J55" s="13">
        <f t="shared" si="0"/>
        <v>8.0508474576271194</v>
      </c>
      <c r="K55" s="12" t="s">
        <v>194</v>
      </c>
      <c r="L55" s="16" t="s">
        <v>66</v>
      </c>
      <c r="M55" s="15">
        <f t="shared" si="1"/>
        <v>8.0509474576271192</v>
      </c>
      <c r="N55" s="1">
        <v>0.18</v>
      </c>
      <c r="O55" s="10">
        <v>9.5</v>
      </c>
    </row>
    <row r="56" spans="3:15" x14ac:dyDescent="0.3">
      <c r="C56" s="4" t="s">
        <v>146</v>
      </c>
      <c r="D56" s="19" t="s">
        <v>3</v>
      </c>
      <c r="E56" s="20" t="s">
        <v>224</v>
      </c>
      <c r="F56" s="21" t="s">
        <v>51</v>
      </c>
      <c r="G56" s="21"/>
      <c r="H56" s="21"/>
      <c r="I56" s="21"/>
      <c r="J56" s="13">
        <f t="shared" si="0"/>
        <v>4.6610169491525424</v>
      </c>
      <c r="K56" s="12" t="s">
        <v>194</v>
      </c>
      <c r="L56" s="16" t="s">
        <v>66</v>
      </c>
      <c r="M56" s="15">
        <f t="shared" si="1"/>
        <v>4.6611169491525422</v>
      </c>
      <c r="N56" s="1">
        <v>0.18</v>
      </c>
      <c r="O56" s="10">
        <v>5.5</v>
      </c>
    </row>
    <row r="57" spans="3:15" x14ac:dyDescent="0.3">
      <c r="C57" s="4" t="s">
        <v>147</v>
      </c>
      <c r="D57" s="19" t="s">
        <v>3</v>
      </c>
      <c r="E57" s="20" t="s">
        <v>224</v>
      </c>
      <c r="F57" s="21" t="s">
        <v>210</v>
      </c>
      <c r="G57" s="21"/>
      <c r="H57" s="21"/>
      <c r="I57" s="21"/>
      <c r="J57" s="13">
        <f t="shared" si="0"/>
        <v>4.6610169491525424</v>
      </c>
      <c r="K57" s="12" t="s">
        <v>194</v>
      </c>
      <c r="L57" s="16" t="s">
        <v>66</v>
      </c>
      <c r="M57" s="15">
        <f t="shared" si="1"/>
        <v>4.6611169491525422</v>
      </c>
      <c r="N57" s="1">
        <v>0.18</v>
      </c>
      <c r="O57" s="10">
        <v>5.5</v>
      </c>
    </row>
    <row r="58" spans="3:15" x14ac:dyDescent="0.3">
      <c r="C58" s="4" t="s">
        <v>148</v>
      </c>
      <c r="D58" s="19" t="s">
        <v>3</v>
      </c>
      <c r="E58" s="20" t="s">
        <v>224</v>
      </c>
      <c r="F58" s="21" t="s">
        <v>36</v>
      </c>
      <c r="G58" s="21"/>
      <c r="H58" s="21"/>
      <c r="I58" s="21"/>
      <c r="J58" s="13">
        <f t="shared" si="0"/>
        <v>3.8135593220338984</v>
      </c>
      <c r="K58" s="12" t="s">
        <v>194</v>
      </c>
      <c r="L58" s="16" t="s">
        <v>66</v>
      </c>
      <c r="M58" s="15">
        <f t="shared" si="1"/>
        <v>3.8136593220338986</v>
      </c>
      <c r="N58" s="1">
        <v>0.18</v>
      </c>
      <c r="O58" s="10">
        <v>4.5</v>
      </c>
    </row>
    <row r="59" spans="3:15" x14ac:dyDescent="0.3">
      <c r="C59" s="4" t="s">
        <v>149</v>
      </c>
      <c r="D59" s="19" t="s">
        <v>3</v>
      </c>
      <c r="E59" s="20" t="s">
        <v>224</v>
      </c>
      <c r="F59" s="21" t="s">
        <v>35</v>
      </c>
      <c r="G59" s="21"/>
      <c r="H59" s="21"/>
      <c r="I59" s="21"/>
      <c r="J59" s="13">
        <f t="shared" si="0"/>
        <v>2.3728813559322033</v>
      </c>
      <c r="K59" s="12" t="s">
        <v>194</v>
      </c>
      <c r="L59" s="16" t="s">
        <v>66</v>
      </c>
      <c r="M59" s="15">
        <f t="shared" si="1"/>
        <v>2.3729813559322035</v>
      </c>
      <c r="N59" s="1">
        <v>0.18</v>
      </c>
      <c r="O59" s="10">
        <v>2.8</v>
      </c>
    </row>
    <row r="60" spans="3:15" x14ac:dyDescent="0.3">
      <c r="C60" s="4" t="s">
        <v>150</v>
      </c>
      <c r="D60" s="19" t="s">
        <v>3</v>
      </c>
      <c r="E60" s="20" t="s">
        <v>224</v>
      </c>
      <c r="F60" s="21" t="s">
        <v>218</v>
      </c>
      <c r="G60" s="21"/>
      <c r="H60" s="21"/>
      <c r="I60" s="21"/>
      <c r="J60" s="13">
        <f t="shared" si="0"/>
        <v>3.8135593220338984</v>
      </c>
      <c r="K60" s="12" t="s">
        <v>194</v>
      </c>
      <c r="L60" s="16" t="s">
        <v>66</v>
      </c>
      <c r="M60" s="15">
        <f>J60+0.0001</f>
        <v>3.8136593220338986</v>
      </c>
      <c r="N60" s="1">
        <v>0.18</v>
      </c>
      <c r="O60" s="10">
        <v>4.5</v>
      </c>
    </row>
    <row r="61" spans="3:15" x14ac:dyDescent="0.3">
      <c r="C61" s="4" t="s">
        <v>151</v>
      </c>
      <c r="D61" s="19" t="s">
        <v>3</v>
      </c>
      <c r="E61" s="20" t="s">
        <v>224</v>
      </c>
      <c r="F61" s="21" t="s">
        <v>77</v>
      </c>
      <c r="G61" s="21"/>
      <c r="H61" s="21"/>
      <c r="I61" s="21"/>
      <c r="J61" s="13">
        <f t="shared" si="0"/>
        <v>2.9661016949152543</v>
      </c>
      <c r="K61" s="12" t="s">
        <v>194</v>
      </c>
      <c r="L61" s="16" t="s">
        <v>66</v>
      </c>
      <c r="M61" s="15">
        <f t="shared" si="1"/>
        <v>2.9662016949152545</v>
      </c>
      <c r="N61" s="1">
        <v>0.18</v>
      </c>
      <c r="O61" s="10">
        <v>3.5</v>
      </c>
    </row>
    <row r="62" spans="3:15" x14ac:dyDescent="0.3">
      <c r="C62" s="4" t="s">
        <v>152</v>
      </c>
      <c r="D62" s="19" t="s">
        <v>3</v>
      </c>
      <c r="E62" s="20" t="s">
        <v>227</v>
      </c>
      <c r="F62" s="21" t="s">
        <v>92</v>
      </c>
      <c r="G62" s="21"/>
      <c r="H62" s="21"/>
      <c r="I62" s="21"/>
      <c r="J62" s="13">
        <f t="shared" si="0"/>
        <v>1.6949152542372883</v>
      </c>
      <c r="K62" s="12" t="s">
        <v>194</v>
      </c>
      <c r="L62" s="16" t="s">
        <v>66</v>
      </c>
      <c r="M62" s="15">
        <f t="shared" si="1"/>
        <v>1.6950152542372883</v>
      </c>
      <c r="N62" s="1">
        <v>0.18</v>
      </c>
      <c r="O62" s="10">
        <v>2</v>
      </c>
    </row>
    <row r="63" spans="3:15" x14ac:dyDescent="0.3">
      <c r="C63" s="4" t="s">
        <v>153</v>
      </c>
      <c r="D63" s="19" t="s">
        <v>3</v>
      </c>
      <c r="E63" s="20" t="s">
        <v>227</v>
      </c>
      <c r="F63" s="21" t="s">
        <v>93</v>
      </c>
      <c r="G63" s="21"/>
      <c r="H63" s="21"/>
      <c r="I63" s="21"/>
      <c r="J63" s="13">
        <f t="shared" si="0"/>
        <v>2.9661016949152543</v>
      </c>
      <c r="K63" s="12" t="s">
        <v>194</v>
      </c>
      <c r="L63" s="16" t="s">
        <v>66</v>
      </c>
      <c r="M63" s="15">
        <f t="shared" si="1"/>
        <v>2.9662016949152545</v>
      </c>
      <c r="N63" s="1">
        <v>0.18</v>
      </c>
      <c r="O63" s="10">
        <v>3.5</v>
      </c>
    </row>
    <row r="64" spans="3:15" x14ac:dyDescent="0.3">
      <c r="C64" s="4" t="s">
        <v>154</v>
      </c>
      <c r="D64" s="19" t="s">
        <v>3</v>
      </c>
      <c r="E64" s="20" t="s">
        <v>227</v>
      </c>
      <c r="F64" s="21" t="s">
        <v>90</v>
      </c>
      <c r="G64" s="21"/>
      <c r="H64" s="21"/>
      <c r="I64" s="21"/>
      <c r="J64" s="13">
        <f t="shared" si="0"/>
        <v>2.5423728813559325</v>
      </c>
      <c r="K64" s="12" t="s">
        <v>194</v>
      </c>
      <c r="L64" s="16" t="s">
        <v>66</v>
      </c>
      <c r="M64" s="15">
        <f t="shared" si="1"/>
        <v>2.5424728813559327</v>
      </c>
      <c r="N64" s="1">
        <v>0.18</v>
      </c>
      <c r="O64" s="10">
        <v>3</v>
      </c>
    </row>
    <row r="65" spans="3:15" x14ac:dyDescent="0.3">
      <c r="C65" s="4" t="s">
        <v>155</v>
      </c>
      <c r="D65" s="19" t="s">
        <v>3</v>
      </c>
      <c r="E65" s="20" t="s">
        <v>227</v>
      </c>
      <c r="F65" s="21" t="s">
        <v>91</v>
      </c>
      <c r="G65" s="21"/>
      <c r="H65" s="21"/>
      <c r="I65" s="21"/>
      <c r="J65" s="13">
        <f t="shared" si="0"/>
        <v>3.8135593220338984</v>
      </c>
      <c r="K65" s="12" t="s">
        <v>194</v>
      </c>
      <c r="L65" s="16" t="s">
        <v>66</v>
      </c>
      <c r="M65" s="15">
        <f>J65+0.0001</f>
        <v>3.8136593220338986</v>
      </c>
      <c r="N65" s="1">
        <v>0.18</v>
      </c>
      <c r="O65" s="10">
        <v>4.5</v>
      </c>
    </row>
    <row r="66" spans="3:15" x14ac:dyDescent="0.3">
      <c r="C66" s="4" t="s">
        <v>156</v>
      </c>
      <c r="D66" s="19" t="s">
        <v>3</v>
      </c>
      <c r="E66" s="20" t="s">
        <v>224</v>
      </c>
      <c r="F66" s="21" t="s">
        <v>78</v>
      </c>
      <c r="G66" s="21"/>
      <c r="H66" s="21"/>
      <c r="I66" s="21"/>
      <c r="J66" s="13">
        <f t="shared" si="0"/>
        <v>7.2033898305084749</v>
      </c>
      <c r="K66" s="12" t="s">
        <v>194</v>
      </c>
      <c r="L66" s="16" t="s">
        <v>66</v>
      </c>
      <c r="M66" s="15">
        <f t="shared" si="1"/>
        <v>7.2034898305084747</v>
      </c>
      <c r="N66" s="1">
        <v>0.18</v>
      </c>
      <c r="O66" s="10">
        <v>8.5</v>
      </c>
    </row>
    <row r="67" spans="3:15" x14ac:dyDescent="0.3">
      <c r="C67" s="4" t="s">
        <v>157</v>
      </c>
      <c r="D67" s="19" t="s">
        <v>3</v>
      </c>
      <c r="E67" s="20" t="s">
        <v>224</v>
      </c>
      <c r="F67" s="21" t="s">
        <v>79</v>
      </c>
      <c r="G67" s="21"/>
      <c r="H67" s="21"/>
      <c r="I67" s="21"/>
      <c r="J67" s="13">
        <f t="shared" si="0"/>
        <v>2.5423728813559325</v>
      </c>
      <c r="K67" s="12" t="s">
        <v>194</v>
      </c>
      <c r="L67" s="16" t="s">
        <v>66</v>
      </c>
      <c r="M67" s="15">
        <f t="shared" si="1"/>
        <v>2.5424728813559327</v>
      </c>
      <c r="N67" s="1">
        <v>0.18</v>
      </c>
      <c r="O67" s="10">
        <v>3</v>
      </c>
    </row>
    <row r="68" spans="3:15" x14ac:dyDescent="0.3">
      <c r="C68" s="4" t="s">
        <v>158</v>
      </c>
      <c r="D68" s="19" t="s">
        <v>3</v>
      </c>
      <c r="E68" s="20" t="s">
        <v>227</v>
      </c>
      <c r="F68" s="21" t="s">
        <v>208</v>
      </c>
      <c r="G68" s="21"/>
      <c r="H68" s="21"/>
      <c r="I68" s="21"/>
      <c r="J68" s="13">
        <f t="shared" si="0"/>
        <v>4.2372881355932206</v>
      </c>
      <c r="K68" s="12" t="s">
        <v>194</v>
      </c>
      <c r="L68" s="16" t="s">
        <v>66</v>
      </c>
      <c r="M68" s="15">
        <f t="shared" si="1"/>
        <v>4.2373881355932204</v>
      </c>
      <c r="N68" s="1">
        <v>0.18</v>
      </c>
      <c r="O68" s="10">
        <v>5</v>
      </c>
    </row>
    <row r="69" spans="3:15" x14ac:dyDescent="0.3">
      <c r="C69" s="4" t="s">
        <v>159</v>
      </c>
      <c r="D69" s="19" t="s">
        <v>3</v>
      </c>
      <c r="E69" s="20" t="s">
        <v>227</v>
      </c>
      <c r="F69" s="21" t="s">
        <v>209</v>
      </c>
      <c r="G69" s="21"/>
      <c r="H69" s="21"/>
      <c r="I69" s="21"/>
      <c r="J69" s="13">
        <f t="shared" si="0"/>
        <v>5.5084745762711869</v>
      </c>
      <c r="K69" s="12" t="s">
        <v>194</v>
      </c>
      <c r="L69" s="16" t="s">
        <v>66</v>
      </c>
      <c r="M69" s="15">
        <f t="shared" si="1"/>
        <v>5.5085745762711866</v>
      </c>
      <c r="N69" s="1">
        <v>0.18</v>
      </c>
      <c r="O69" s="10">
        <v>6.5</v>
      </c>
    </row>
    <row r="70" spans="3:15" x14ac:dyDescent="0.3">
      <c r="C70" s="4" t="s">
        <v>160</v>
      </c>
      <c r="D70" s="19" t="s">
        <v>3</v>
      </c>
      <c r="E70" s="20" t="s">
        <v>225</v>
      </c>
      <c r="F70" s="21" t="s">
        <v>80</v>
      </c>
      <c r="G70" s="21"/>
      <c r="H70" s="21"/>
      <c r="I70" s="21"/>
      <c r="J70" s="13">
        <f t="shared" si="0"/>
        <v>3.2203389830508473</v>
      </c>
      <c r="K70" s="12" t="s">
        <v>194</v>
      </c>
      <c r="L70" s="16" t="s">
        <v>66</v>
      </c>
      <c r="M70" s="15">
        <f t="shared" si="1"/>
        <v>3.2204389830508475</v>
      </c>
      <c r="N70" s="1">
        <v>0.18</v>
      </c>
      <c r="O70" s="10">
        <v>3.8</v>
      </c>
    </row>
    <row r="71" spans="3:15" x14ac:dyDescent="0.3">
      <c r="C71" s="4" t="s">
        <v>161</v>
      </c>
      <c r="D71" s="19" t="s">
        <v>2</v>
      </c>
      <c r="E71" s="20" t="s">
        <v>227</v>
      </c>
      <c r="F71" s="21" t="s">
        <v>24</v>
      </c>
      <c r="G71" s="21"/>
      <c r="H71" s="21"/>
      <c r="I71" s="21"/>
      <c r="J71" s="13">
        <f t="shared" si="0"/>
        <v>1.2711864406779663</v>
      </c>
      <c r="K71" s="12" t="s">
        <v>194</v>
      </c>
      <c r="L71" s="16" t="s">
        <v>65</v>
      </c>
      <c r="M71" s="15">
        <f t="shared" si="1"/>
        <v>1.2712864406779663</v>
      </c>
      <c r="N71" s="1">
        <v>0.18</v>
      </c>
      <c r="O71" s="10">
        <v>1.5</v>
      </c>
    </row>
    <row r="72" spans="3:15" x14ac:dyDescent="0.3">
      <c r="C72" s="4" t="s">
        <v>162</v>
      </c>
      <c r="D72" s="19" t="s">
        <v>3</v>
      </c>
      <c r="E72" s="20" t="s">
        <v>222</v>
      </c>
      <c r="F72" s="21" t="s">
        <v>44</v>
      </c>
      <c r="G72" s="21"/>
      <c r="H72" s="21"/>
      <c r="I72" s="21"/>
      <c r="J72" s="13">
        <f t="shared" si="0"/>
        <v>12.288135593220339</v>
      </c>
      <c r="K72" s="12" t="s">
        <v>194</v>
      </c>
      <c r="L72" s="16" t="s">
        <v>66</v>
      </c>
      <c r="M72" s="15">
        <f t="shared" si="1"/>
        <v>12.288235593220339</v>
      </c>
      <c r="N72" s="1">
        <v>0.18</v>
      </c>
      <c r="O72" s="10">
        <v>14.5</v>
      </c>
    </row>
    <row r="73" spans="3:15" x14ac:dyDescent="0.3">
      <c r="C73" s="4" t="s">
        <v>163</v>
      </c>
      <c r="D73" s="19" t="s">
        <v>3</v>
      </c>
      <c r="E73" s="20" t="s">
        <v>222</v>
      </c>
      <c r="F73" s="21" t="s">
        <v>31</v>
      </c>
      <c r="G73" s="21"/>
      <c r="H73" s="21"/>
      <c r="I73" s="21"/>
      <c r="J73" s="13">
        <f t="shared" si="0"/>
        <v>11.440677966101696</v>
      </c>
      <c r="K73" s="12" t="s">
        <v>194</v>
      </c>
      <c r="L73" s="16" t="s">
        <v>66</v>
      </c>
      <c r="M73" s="15">
        <f t="shared" si="1"/>
        <v>11.440777966101695</v>
      </c>
      <c r="N73" s="1">
        <v>0.18</v>
      </c>
      <c r="O73" s="10">
        <v>13.5</v>
      </c>
    </row>
    <row r="74" spans="3:15" x14ac:dyDescent="0.3">
      <c r="C74" s="4" t="s">
        <v>164</v>
      </c>
      <c r="D74" s="19" t="s">
        <v>3</v>
      </c>
      <c r="E74" s="20" t="s">
        <v>222</v>
      </c>
      <c r="F74" s="21" t="s">
        <v>34</v>
      </c>
      <c r="G74" s="21"/>
      <c r="H74" s="21"/>
      <c r="I74" s="21"/>
      <c r="J74" s="13">
        <f t="shared" si="0"/>
        <v>10.593220338983052</v>
      </c>
      <c r="K74" s="12" t="s">
        <v>194</v>
      </c>
      <c r="L74" s="16" t="s">
        <v>66</v>
      </c>
      <c r="M74" s="15">
        <f t="shared" ref="M74:M103" si="4">J74+0.0001</f>
        <v>10.593320338983052</v>
      </c>
      <c r="N74" s="1">
        <v>0.18</v>
      </c>
      <c r="O74" s="10">
        <v>12.5</v>
      </c>
    </row>
    <row r="75" spans="3:15" x14ac:dyDescent="0.3">
      <c r="C75" s="4" t="s">
        <v>165</v>
      </c>
      <c r="D75" s="19" t="s">
        <v>3</v>
      </c>
      <c r="E75" s="20" t="s">
        <v>222</v>
      </c>
      <c r="F75" s="21" t="s">
        <v>32</v>
      </c>
      <c r="G75" s="21"/>
      <c r="H75" s="21"/>
      <c r="I75" s="21"/>
      <c r="J75" s="13">
        <f t="shared" ref="J75:J103" si="5">O75/1.18</f>
        <v>8.898305084745763</v>
      </c>
      <c r="K75" s="12" t="s">
        <v>194</v>
      </c>
      <c r="L75" s="16" t="s">
        <v>66</v>
      </c>
      <c r="M75" s="15">
        <f t="shared" si="4"/>
        <v>8.8984050847457627</v>
      </c>
      <c r="N75" s="1">
        <v>0.18</v>
      </c>
      <c r="O75" s="10">
        <v>10.5</v>
      </c>
    </row>
    <row r="76" spans="3:15" x14ac:dyDescent="0.3">
      <c r="C76" s="4" t="s">
        <v>166</v>
      </c>
      <c r="D76" s="19" t="s">
        <v>83</v>
      </c>
      <c r="E76" s="20" t="s">
        <v>226</v>
      </c>
      <c r="F76" s="21" t="s">
        <v>81</v>
      </c>
      <c r="G76" s="21"/>
      <c r="H76" s="21"/>
      <c r="I76" s="21"/>
      <c r="J76" s="13">
        <f t="shared" si="5"/>
        <v>4.6610169491525424</v>
      </c>
      <c r="K76" s="12" t="s">
        <v>194</v>
      </c>
      <c r="L76" s="16" t="s">
        <v>82</v>
      </c>
      <c r="M76" s="15">
        <f t="shared" si="4"/>
        <v>4.6611169491525422</v>
      </c>
      <c r="N76" s="1">
        <v>0.18</v>
      </c>
      <c r="O76" s="10">
        <v>5.5</v>
      </c>
    </row>
    <row r="77" spans="3:15" x14ac:dyDescent="0.3">
      <c r="C77" s="4" t="s">
        <v>167</v>
      </c>
      <c r="D77" s="19" t="s">
        <v>3</v>
      </c>
      <c r="E77" s="20" t="s">
        <v>225</v>
      </c>
      <c r="F77" s="21" t="s">
        <v>52</v>
      </c>
      <c r="G77" s="21"/>
      <c r="H77" s="21"/>
      <c r="I77" s="21"/>
      <c r="J77" s="13">
        <f t="shared" si="5"/>
        <v>9.7457627118644066</v>
      </c>
      <c r="K77" s="12" t="s">
        <v>194</v>
      </c>
      <c r="L77" s="16" t="s">
        <v>66</v>
      </c>
      <c r="M77" s="15">
        <f t="shared" si="4"/>
        <v>9.7458627118644063</v>
      </c>
      <c r="N77" s="1">
        <v>0.18</v>
      </c>
      <c r="O77" s="10">
        <v>11.5</v>
      </c>
    </row>
    <row r="78" spans="3:15" x14ac:dyDescent="0.3">
      <c r="C78" s="4" t="s">
        <v>168</v>
      </c>
      <c r="D78" s="19" t="s">
        <v>3</v>
      </c>
      <c r="E78" s="20" t="s">
        <v>225</v>
      </c>
      <c r="F78" s="21" t="s">
        <v>18</v>
      </c>
      <c r="G78" s="21"/>
      <c r="H78" s="21"/>
      <c r="I78" s="21"/>
      <c r="J78" s="13">
        <f t="shared" si="5"/>
        <v>6.3559322033898304</v>
      </c>
      <c r="K78" s="12" t="s">
        <v>194</v>
      </c>
      <c r="L78" s="16" t="s">
        <v>66</v>
      </c>
      <c r="M78" s="15">
        <f t="shared" si="4"/>
        <v>6.3560322033898302</v>
      </c>
      <c r="N78" s="1">
        <v>0.18</v>
      </c>
      <c r="O78" s="10">
        <v>7.5</v>
      </c>
    </row>
    <row r="79" spans="3:15" x14ac:dyDescent="0.3">
      <c r="C79" s="4" t="s">
        <v>169</v>
      </c>
      <c r="D79" s="19" t="s">
        <v>3</v>
      </c>
      <c r="E79" s="20" t="s">
        <v>225</v>
      </c>
      <c r="F79" s="21" t="s">
        <v>215</v>
      </c>
      <c r="G79" s="21"/>
      <c r="H79" s="21"/>
      <c r="I79" s="21"/>
      <c r="J79" s="13">
        <f t="shared" si="5"/>
        <v>4.6610169491525424</v>
      </c>
      <c r="K79" s="12" t="s">
        <v>194</v>
      </c>
      <c r="L79" s="16" t="s">
        <v>66</v>
      </c>
      <c r="M79" s="15">
        <f t="shared" si="4"/>
        <v>4.6611169491525422</v>
      </c>
      <c r="N79" s="1">
        <v>0.18</v>
      </c>
      <c r="O79" s="10">
        <v>5.5</v>
      </c>
    </row>
    <row r="80" spans="3:15" x14ac:dyDescent="0.3">
      <c r="C80" s="4" t="s">
        <v>170</v>
      </c>
      <c r="D80" s="19" t="s">
        <v>3</v>
      </c>
      <c r="E80" s="20" t="s">
        <v>224</v>
      </c>
      <c r="F80" s="21" t="s">
        <v>89</v>
      </c>
      <c r="G80" s="21"/>
      <c r="H80" s="21"/>
      <c r="I80" s="21"/>
      <c r="J80" s="13">
        <f t="shared" si="5"/>
        <v>33.474576271186443</v>
      </c>
      <c r="K80" s="12" t="s">
        <v>194</v>
      </c>
      <c r="L80" s="16" t="s">
        <v>66</v>
      </c>
      <c r="M80" s="15">
        <f t="shared" si="4"/>
        <v>33.474676271186446</v>
      </c>
      <c r="N80" s="1">
        <v>0.18</v>
      </c>
      <c r="O80" s="10">
        <v>39.5</v>
      </c>
    </row>
    <row r="81" spans="3:15" x14ac:dyDescent="0.3">
      <c r="C81" s="4" t="s">
        <v>171</v>
      </c>
      <c r="D81" s="19" t="s">
        <v>84</v>
      </c>
      <c r="E81" s="20" t="s">
        <v>224</v>
      </c>
      <c r="F81" s="21" t="s">
        <v>88</v>
      </c>
      <c r="G81" s="21"/>
      <c r="H81" s="21"/>
      <c r="I81" s="21"/>
      <c r="J81" s="13">
        <f t="shared" si="5"/>
        <v>33.474576271186443</v>
      </c>
      <c r="K81" s="12" t="s">
        <v>194</v>
      </c>
      <c r="L81" s="16" t="s">
        <v>74</v>
      </c>
      <c r="M81" s="15">
        <f t="shared" si="4"/>
        <v>33.474676271186446</v>
      </c>
      <c r="N81" s="1">
        <v>0.18</v>
      </c>
      <c r="O81" s="10">
        <v>39.5</v>
      </c>
    </row>
    <row r="82" spans="3:15" x14ac:dyDescent="0.3">
      <c r="C82" s="4" t="s">
        <v>172</v>
      </c>
      <c r="D82" s="19" t="s">
        <v>3</v>
      </c>
      <c r="E82" s="20" t="s">
        <v>224</v>
      </c>
      <c r="F82" s="21" t="s">
        <v>16</v>
      </c>
      <c r="G82" s="21"/>
      <c r="H82" s="21"/>
      <c r="I82" s="21"/>
      <c r="J82" s="13">
        <f t="shared" si="5"/>
        <v>3.8135593220338984</v>
      </c>
      <c r="K82" s="12" t="s">
        <v>194</v>
      </c>
      <c r="L82" s="16" t="s">
        <v>66</v>
      </c>
      <c r="M82" s="15">
        <f t="shared" si="4"/>
        <v>3.8136593220338986</v>
      </c>
      <c r="N82" s="1">
        <v>0.18</v>
      </c>
      <c r="O82" s="10">
        <v>4.5</v>
      </c>
    </row>
    <row r="83" spans="3:15" x14ac:dyDescent="0.3">
      <c r="C83" s="4" t="s">
        <v>173</v>
      </c>
      <c r="D83" s="19" t="s">
        <v>3</v>
      </c>
      <c r="E83" s="20" t="s">
        <v>224</v>
      </c>
      <c r="F83" s="21" t="s">
        <v>19</v>
      </c>
      <c r="G83" s="21"/>
      <c r="H83" s="21"/>
      <c r="I83" s="21"/>
      <c r="J83" s="13">
        <f t="shared" si="5"/>
        <v>7.2033898305084749</v>
      </c>
      <c r="K83" s="12" t="s">
        <v>194</v>
      </c>
      <c r="L83" s="16" t="s">
        <v>66</v>
      </c>
      <c r="M83" s="15">
        <f t="shared" si="4"/>
        <v>7.2034898305084747</v>
      </c>
      <c r="N83" s="1">
        <v>0.18</v>
      </c>
      <c r="O83" s="10">
        <v>8.5</v>
      </c>
    </row>
    <row r="84" spans="3:15" x14ac:dyDescent="0.3">
      <c r="C84" s="4" t="s">
        <v>174</v>
      </c>
      <c r="D84" s="19" t="s">
        <v>3</v>
      </c>
      <c r="E84" s="20" t="s">
        <v>224</v>
      </c>
      <c r="F84" s="21" t="s">
        <v>17</v>
      </c>
      <c r="G84" s="21"/>
      <c r="H84" s="21"/>
      <c r="I84" s="21"/>
      <c r="J84" s="13">
        <f t="shared" si="5"/>
        <v>4.6610169491525424</v>
      </c>
      <c r="K84" s="12" t="s">
        <v>194</v>
      </c>
      <c r="L84" s="16" t="s">
        <v>66</v>
      </c>
      <c r="M84" s="15">
        <f t="shared" si="4"/>
        <v>4.6611169491525422</v>
      </c>
      <c r="N84" s="1">
        <v>0.18</v>
      </c>
      <c r="O84" s="10">
        <v>5.5</v>
      </c>
    </row>
    <row r="85" spans="3:15" x14ac:dyDescent="0.3">
      <c r="C85" s="4" t="s">
        <v>175</v>
      </c>
      <c r="D85" s="19" t="s">
        <v>3</v>
      </c>
      <c r="E85" s="20" t="s">
        <v>224</v>
      </c>
      <c r="F85" s="21" t="s">
        <v>207</v>
      </c>
      <c r="G85" s="21"/>
      <c r="H85" s="21"/>
      <c r="I85" s="21"/>
      <c r="J85" s="13">
        <f t="shared" si="5"/>
        <v>41.949152542372886</v>
      </c>
      <c r="K85" s="12" t="s">
        <v>194</v>
      </c>
      <c r="L85" s="16" t="s">
        <v>66</v>
      </c>
      <c r="M85" s="15">
        <f t="shared" si="4"/>
        <v>41.949252542372889</v>
      </c>
      <c r="N85" s="1">
        <v>0.18</v>
      </c>
      <c r="O85" s="10">
        <v>49.5</v>
      </c>
    </row>
    <row r="86" spans="3:15" x14ac:dyDescent="0.3">
      <c r="C86" s="4" t="s">
        <v>176</v>
      </c>
      <c r="D86" s="19" t="s">
        <v>3</v>
      </c>
      <c r="E86" s="20" t="s">
        <v>224</v>
      </c>
      <c r="F86" s="21" t="s">
        <v>25</v>
      </c>
      <c r="G86" s="21"/>
      <c r="H86" s="21"/>
      <c r="I86" s="21"/>
      <c r="J86" s="13">
        <f t="shared" si="5"/>
        <v>9.7457627118644066</v>
      </c>
      <c r="K86" s="12" t="s">
        <v>194</v>
      </c>
      <c r="L86" s="16" t="s">
        <v>66</v>
      </c>
      <c r="M86" s="15">
        <f t="shared" si="4"/>
        <v>9.7458627118644063</v>
      </c>
      <c r="N86" s="1">
        <v>0.18</v>
      </c>
      <c r="O86" s="10">
        <v>11.5</v>
      </c>
    </row>
    <row r="87" spans="3:15" x14ac:dyDescent="0.3">
      <c r="C87" s="4" t="s">
        <v>177</v>
      </c>
      <c r="D87" s="19" t="s">
        <v>3</v>
      </c>
      <c r="E87" s="20" t="s">
        <v>224</v>
      </c>
      <c r="F87" s="21" t="s">
        <v>26</v>
      </c>
      <c r="G87" s="21"/>
      <c r="H87" s="21"/>
      <c r="I87" s="21"/>
      <c r="J87" s="13">
        <f t="shared" si="5"/>
        <v>8.898305084745763</v>
      </c>
      <c r="K87" s="12" t="s">
        <v>194</v>
      </c>
      <c r="L87" s="16" t="s">
        <v>66</v>
      </c>
      <c r="M87" s="15">
        <f t="shared" si="4"/>
        <v>8.8984050847457627</v>
      </c>
      <c r="N87" s="1">
        <v>0.18</v>
      </c>
      <c r="O87" s="10">
        <v>10.5</v>
      </c>
    </row>
    <row r="88" spans="3:15" x14ac:dyDescent="0.3">
      <c r="C88" s="4" t="s">
        <v>178</v>
      </c>
      <c r="D88" s="19" t="s">
        <v>3</v>
      </c>
      <c r="E88" s="20" t="s">
        <v>224</v>
      </c>
      <c r="F88" s="21" t="s">
        <v>27</v>
      </c>
      <c r="G88" s="21"/>
      <c r="H88" s="21"/>
      <c r="I88" s="21"/>
      <c r="J88" s="13">
        <f t="shared" si="5"/>
        <v>6.3559322033898304</v>
      </c>
      <c r="K88" s="12" t="s">
        <v>194</v>
      </c>
      <c r="L88" s="16" t="s">
        <v>66</v>
      </c>
      <c r="M88" s="15">
        <f t="shared" si="4"/>
        <v>6.3560322033898302</v>
      </c>
      <c r="N88" s="1">
        <v>0.18</v>
      </c>
      <c r="O88" s="10">
        <v>7.5</v>
      </c>
    </row>
    <row r="89" spans="3:15" x14ac:dyDescent="0.3">
      <c r="C89" s="4" t="s">
        <v>179</v>
      </c>
      <c r="D89" s="19" t="s">
        <v>3</v>
      </c>
      <c r="E89" s="20" t="s">
        <v>224</v>
      </c>
      <c r="F89" s="21" t="s">
        <v>28</v>
      </c>
      <c r="G89" s="21"/>
      <c r="H89" s="21"/>
      <c r="I89" s="21"/>
      <c r="J89" s="13">
        <f t="shared" si="5"/>
        <v>5.5084745762711869</v>
      </c>
      <c r="K89" s="12" t="s">
        <v>194</v>
      </c>
      <c r="L89" s="16" t="s">
        <v>66</v>
      </c>
      <c r="M89" s="15">
        <f t="shared" si="4"/>
        <v>5.5085745762711866</v>
      </c>
      <c r="N89" s="1">
        <v>0.18</v>
      </c>
      <c r="O89" s="10">
        <v>6.5</v>
      </c>
    </row>
    <row r="90" spans="3:15" x14ac:dyDescent="0.3">
      <c r="C90" s="4" t="s">
        <v>180</v>
      </c>
      <c r="D90" s="19" t="s">
        <v>3</v>
      </c>
      <c r="E90" s="20" t="s">
        <v>224</v>
      </c>
      <c r="F90" s="21" t="s">
        <v>29</v>
      </c>
      <c r="G90" s="21"/>
      <c r="H90" s="21"/>
      <c r="I90" s="21"/>
      <c r="J90" s="13">
        <f t="shared" si="5"/>
        <v>3.8135593220338984</v>
      </c>
      <c r="K90" s="12" t="s">
        <v>194</v>
      </c>
      <c r="L90" s="16" t="s">
        <v>66</v>
      </c>
      <c r="M90" s="15">
        <f t="shared" si="4"/>
        <v>3.8136593220338986</v>
      </c>
      <c r="N90" s="1">
        <v>0.18</v>
      </c>
      <c r="O90" s="10">
        <v>4.5</v>
      </c>
    </row>
    <row r="91" spans="3:15" x14ac:dyDescent="0.3">
      <c r="C91" s="4" t="s">
        <v>181</v>
      </c>
      <c r="D91" s="19" t="s">
        <v>3</v>
      </c>
      <c r="E91" s="20" t="s">
        <v>224</v>
      </c>
      <c r="F91" s="21" t="s">
        <v>56</v>
      </c>
      <c r="G91" s="21"/>
      <c r="H91" s="21"/>
      <c r="I91" s="21"/>
      <c r="J91" s="13">
        <f t="shared" si="5"/>
        <v>8.0508474576271194</v>
      </c>
      <c r="K91" s="12" t="s">
        <v>194</v>
      </c>
      <c r="L91" s="16" t="s">
        <v>66</v>
      </c>
      <c r="M91" s="15">
        <f t="shared" si="4"/>
        <v>8.0509474576271192</v>
      </c>
      <c r="N91" s="1">
        <v>0.18</v>
      </c>
      <c r="O91" s="10">
        <v>9.5</v>
      </c>
    </row>
    <row r="92" spans="3:15" x14ac:dyDescent="0.3">
      <c r="C92" s="4" t="s">
        <v>182</v>
      </c>
      <c r="D92" s="19" t="s">
        <v>3</v>
      </c>
      <c r="E92" s="20" t="s">
        <v>224</v>
      </c>
      <c r="F92" s="21" t="s">
        <v>57</v>
      </c>
      <c r="G92" s="21"/>
      <c r="H92" s="21"/>
      <c r="I92" s="21"/>
      <c r="J92" s="13">
        <f t="shared" si="5"/>
        <v>15.677966101694915</v>
      </c>
      <c r="K92" s="12" t="s">
        <v>194</v>
      </c>
      <c r="L92" s="16" t="s">
        <v>66</v>
      </c>
      <c r="M92" s="15">
        <f t="shared" si="4"/>
        <v>15.678066101694915</v>
      </c>
      <c r="N92" s="1">
        <v>0.18</v>
      </c>
      <c r="O92" s="10">
        <v>18.5</v>
      </c>
    </row>
    <row r="93" spans="3:15" x14ac:dyDescent="0.3">
      <c r="C93" s="4" t="s">
        <v>183</v>
      </c>
      <c r="D93" s="19" t="s">
        <v>3</v>
      </c>
      <c r="E93" s="20" t="s">
        <v>224</v>
      </c>
      <c r="F93" s="21" t="s">
        <v>58</v>
      </c>
      <c r="G93" s="21"/>
      <c r="H93" s="21"/>
      <c r="I93" s="21"/>
      <c r="J93" s="13">
        <f t="shared" si="5"/>
        <v>14.830508474576272</v>
      </c>
      <c r="K93" s="12" t="s">
        <v>194</v>
      </c>
      <c r="L93" s="16" t="s">
        <v>66</v>
      </c>
      <c r="M93" s="15">
        <f t="shared" si="4"/>
        <v>14.830608474576271</v>
      </c>
      <c r="N93" s="1">
        <v>0.18</v>
      </c>
      <c r="O93" s="10">
        <v>17.5</v>
      </c>
    </row>
    <row r="94" spans="3:15" x14ac:dyDescent="0.3">
      <c r="C94" s="4" t="s">
        <v>184</v>
      </c>
      <c r="D94" s="19" t="s">
        <v>83</v>
      </c>
      <c r="E94" s="20" t="s">
        <v>224</v>
      </c>
      <c r="F94" s="21" t="s">
        <v>86</v>
      </c>
      <c r="G94" s="21"/>
      <c r="H94" s="21"/>
      <c r="I94" s="21"/>
      <c r="J94" s="13">
        <f t="shared" si="5"/>
        <v>8.0508474576271194</v>
      </c>
      <c r="K94" s="12" t="s">
        <v>194</v>
      </c>
      <c r="L94" s="16" t="s">
        <v>82</v>
      </c>
      <c r="M94" s="15">
        <f t="shared" si="4"/>
        <v>8.0509474576271192</v>
      </c>
      <c r="N94" s="1">
        <v>0.18</v>
      </c>
      <c r="O94" s="10">
        <v>9.5</v>
      </c>
    </row>
    <row r="95" spans="3:15" x14ac:dyDescent="0.3">
      <c r="C95" s="4" t="s">
        <v>185</v>
      </c>
      <c r="D95" s="19" t="s">
        <v>3</v>
      </c>
      <c r="E95" s="20" t="s">
        <v>224</v>
      </c>
      <c r="F95" s="21" t="s">
        <v>85</v>
      </c>
      <c r="G95" s="21"/>
      <c r="H95" s="21"/>
      <c r="I95" s="21"/>
      <c r="J95" s="13">
        <f t="shared" si="5"/>
        <v>13.135593220338984</v>
      </c>
      <c r="K95" s="12" t="s">
        <v>194</v>
      </c>
      <c r="L95" s="16" t="s">
        <v>66</v>
      </c>
      <c r="M95" s="15">
        <f t="shared" si="4"/>
        <v>13.135693220338984</v>
      </c>
      <c r="N95" s="1">
        <v>0.18</v>
      </c>
      <c r="O95" s="10">
        <v>15.5</v>
      </c>
    </row>
    <row r="96" spans="3:15" x14ac:dyDescent="0.3">
      <c r="C96" s="4" t="s">
        <v>186</v>
      </c>
      <c r="D96" s="19" t="s">
        <v>3</v>
      </c>
      <c r="E96" s="20" t="s">
        <v>224</v>
      </c>
      <c r="F96" s="21" t="s">
        <v>87</v>
      </c>
      <c r="G96" s="21"/>
      <c r="H96" s="21"/>
      <c r="I96" s="21"/>
      <c r="J96" s="13">
        <f t="shared" si="5"/>
        <v>10.593220338983052</v>
      </c>
      <c r="K96" s="12" t="s">
        <v>194</v>
      </c>
      <c r="L96" s="16" t="s">
        <v>66</v>
      </c>
      <c r="M96" s="15">
        <f t="shared" si="4"/>
        <v>10.593320338983052</v>
      </c>
      <c r="N96" s="1">
        <v>0.18</v>
      </c>
      <c r="O96" s="10">
        <v>12.5</v>
      </c>
    </row>
    <row r="97" spans="3:15" x14ac:dyDescent="0.3">
      <c r="C97" s="4" t="s">
        <v>187</v>
      </c>
      <c r="D97" s="19" t="s">
        <v>3</v>
      </c>
      <c r="E97" s="20" t="s">
        <v>224</v>
      </c>
      <c r="F97" s="21" t="s">
        <v>59</v>
      </c>
      <c r="G97" s="21"/>
      <c r="H97" s="21"/>
      <c r="I97" s="21"/>
      <c r="J97" s="13">
        <f t="shared" si="5"/>
        <v>9.3220338983050848</v>
      </c>
      <c r="K97" s="12" t="s">
        <v>194</v>
      </c>
      <c r="L97" s="16" t="s">
        <v>66</v>
      </c>
      <c r="M97" s="15">
        <f t="shared" si="4"/>
        <v>9.3221338983050845</v>
      </c>
      <c r="N97" s="1">
        <v>0.18</v>
      </c>
      <c r="O97" s="10">
        <v>11</v>
      </c>
    </row>
    <row r="98" spans="3:15" x14ac:dyDescent="0.3">
      <c r="C98" s="4" t="s">
        <v>188</v>
      </c>
      <c r="D98" s="19" t="s">
        <v>3</v>
      </c>
      <c r="E98" s="20" t="s">
        <v>224</v>
      </c>
      <c r="F98" s="21" t="s">
        <v>60</v>
      </c>
      <c r="G98" s="21"/>
      <c r="H98" s="21"/>
      <c r="I98" s="21"/>
      <c r="J98" s="13">
        <f t="shared" si="5"/>
        <v>17.796610169491526</v>
      </c>
      <c r="K98" s="12" t="s">
        <v>194</v>
      </c>
      <c r="L98" s="16" t="s">
        <v>66</v>
      </c>
      <c r="M98" s="15">
        <f t="shared" si="4"/>
        <v>17.796710169491526</v>
      </c>
      <c r="N98" s="1">
        <v>0.18</v>
      </c>
      <c r="O98" s="10">
        <v>21</v>
      </c>
    </row>
    <row r="99" spans="3:15" x14ac:dyDescent="0.3">
      <c r="C99" s="4" t="s">
        <v>189</v>
      </c>
      <c r="D99" s="19" t="s">
        <v>84</v>
      </c>
      <c r="E99" s="20" t="s">
        <v>224</v>
      </c>
      <c r="F99" s="21" t="s">
        <v>73</v>
      </c>
      <c r="G99" s="21"/>
      <c r="H99" s="21"/>
      <c r="I99" s="21"/>
      <c r="J99" s="13">
        <f t="shared" si="5"/>
        <v>41.101694915254242</v>
      </c>
      <c r="K99" s="12" t="s">
        <v>194</v>
      </c>
      <c r="L99" s="16" t="s">
        <v>74</v>
      </c>
      <c r="M99" s="15">
        <f t="shared" si="4"/>
        <v>41.101794915254246</v>
      </c>
      <c r="N99" s="1">
        <v>0.18</v>
      </c>
      <c r="O99" s="10">
        <v>48.5</v>
      </c>
    </row>
    <row r="100" spans="3:15" x14ac:dyDescent="0.3">
      <c r="C100" s="4" t="s">
        <v>190</v>
      </c>
      <c r="D100" s="19" t="s">
        <v>3</v>
      </c>
      <c r="E100" s="20" t="s">
        <v>224</v>
      </c>
      <c r="F100" s="21" t="s">
        <v>71</v>
      </c>
      <c r="G100" s="21"/>
      <c r="H100" s="21"/>
      <c r="I100" s="21"/>
      <c r="J100" s="13">
        <f t="shared" si="5"/>
        <v>10.593220338983052</v>
      </c>
      <c r="K100" s="12" t="s">
        <v>194</v>
      </c>
      <c r="L100" s="16" t="s">
        <v>66</v>
      </c>
      <c r="M100" s="15">
        <f t="shared" si="4"/>
        <v>10.593320338983052</v>
      </c>
      <c r="N100" s="1">
        <v>0.18</v>
      </c>
      <c r="O100" s="10">
        <v>12.5</v>
      </c>
    </row>
    <row r="101" spans="3:15" x14ac:dyDescent="0.3">
      <c r="C101" s="4" t="s">
        <v>191</v>
      </c>
      <c r="D101" s="19" t="s">
        <v>3</v>
      </c>
      <c r="E101" s="20" t="s">
        <v>224</v>
      </c>
      <c r="F101" s="21" t="s">
        <v>72</v>
      </c>
      <c r="G101" s="21"/>
      <c r="H101" s="21"/>
      <c r="I101" s="21"/>
      <c r="J101" s="13">
        <f t="shared" si="5"/>
        <v>18.64406779661017</v>
      </c>
      <c r="K101" s="12" t="s">
        <v>194</v>
      </c>
      <c r="L101" s="16" t="s">
        <v>66</v>
      </c>
      <c r="M101" s="15">
        <f t="shared" si="4"/>
        <v>18.644167796610169</v>
      </c>
      <c r="N101" s="1">
        <v>0.18</v>
      </c>
      <c r="O101" s="10">
        <v>22</v>
      </c>
    </row>
    <row r="102" spans="3:15" x14ac:dyDescent="0.3">
      <c r="C102" s="4" t="s">
        <v>192</v>
      </c>
      <c r="D102" s="19" t="s">
        <v>3</v>
      </c>
      <c r="E102" s="20" t="s">
        <v>224</v>
      </c>
      <c r="F102" s="21" t="s">
        <v>216</v>
      </c>
      <c r="G102" s="21"/>
      <c r="H102" s="21"/>
      <c r="I102" s="21"/>
      <c r="J102" s="13">
        <f t="shared" si="5"/>
        <v>5.5084745762711869</v>
      </c>
      <c r="K102" s="12" t="s">
        <v>194</v>
      </c>
      <c r="L102" s="16" t="s">
        <v>66</v>
      </c>
      <c r="M102" s="15">
        <f t="shared" si="4"/>
        <v>5.5085745762711866</v>
      </c>
      <c r="N102" s="1">
        <v>0.18</v>
      </c>
      <c r="O102" s="10">
        <v>6.5</v>
      </c>
    </row>
    <row r="103" spans="3:15" ht="15" thickBot="1" x14ac:dyDescent="0.35">
      <c r="C103" s="4" t="s">
        <v>193</v>
      </c>
      <c r="D103" s="19" t="s">
        <v>3</v>
      </c>
      <c r="E103" s="20" t="s">
        <v>224</v>
      </c>
      <c r="F103" s="22" t="s">
        <v>217</v>
      </c>
      <c r="G103" s="22"/>
      <c r="H103" s="22"/>
      <c r="I103" s="22"/>
      <c r="J103" s="13">
        <f t="shared" si="5"/>
        <v>4.2372881355932206</v>
      </c>
      <c r="K103" s="12" t="s">
        <v>194</v>
      </c>
      <c r="L103" s="16" t="s">
        <v>66</v>
      </c>
      <c r="M103" s="15">
        <f t="shared" si="4"/>
        <v>4.2373881355932204</v>
      </c>
      <c r="N103" s="3">
        <v>0.18</v>
      </c>
      <c r="O103" s="11">
        <v>5</v>
      </c>
    </row>
  </sheetData>
  <autoFilter ref="C3:O103" xr:uid="{CCE03B6B-4D71-4751-A92A-D40930BB800C}">
    <filterColumn colId="3" showButton="0"/>
    <filterColumn colId="4" showButton="0"/>
    <filterColumn colId="5" showButton="0"/>
  </autoFilter>
  <mergeCells count="102">
    <mergeCell ref="C2:O2"/>
    <mergeCell ref="F13:I13"/>
    <mergeCell ref="F14:I14"/>
    <mergeCell ref="F15:I15"/>
    <mergeCell ref="F25:I25"/>
    <mergeCell ref="F19:I19"/>
    <mergeCell ref="F20:I20"/>
    <mergeCell ref="F21:I21"/>
    <mergeCell ref="F22:I22"/>
    <mergeCell ref="F23:I23"/>
    <mergeCell ref="F7:I7"/>
    <mergeCell ref="F8:I8"/>
    <mergeCell ref="F9:I9"/>
    <mergeCell ref="F10:I10"/>
    <mergeCell ref="F11:I11"/>
    <mergeCell ref="F12:I12"/>
    <mergeCell ref="F24:I24"/>
    <mergeCell ref="F16:I16"/>
    <mergeCell ref="F17:I17"/>
    <mergeCell ref="F18:I18"/>
    <mergeCell ref="F33:I33"/>
    <mergeCell ref="F34:I34"/>
    <mergeCell ref="F35:I35"/>
    <mergeCell ref="F41:I41"/>
    <mergeCell ref="F42:I42"/>
    <mergeCell ref="F43:I43"/>
    <mergeCell ref="F3:I3"/>
    <mergeCell ref="F4:I4"/>
    <mergeCell ref="F5:I5"/>
    <mergeCell ref="F6:I6"/>
    <mergeCell ref="F27:I27"/>
    <mergeCell ref="F26:I26"/>
    <mergeCell ref="F31:I31"/>
    <mergeCell ref="F30:I30"/>
    <mergeCell ref="F32:I32"/>
    <mergeCell ref="F45:I45"/>
    <mergeCell ref="F46:I46"/>
    <mergeCell ref="F47:I47"/>
    <mergeCell ref="F48:I48"/>
    <mergeCell ref="F49:I49"/>
    <mergeCell ref="F50:I50"/>
    <mergeCell ref="F54:I54"/>
    <mergeCell ref="F36:I36"/>
    <mergeCell ref="F37:I37"/>
    <mergeCell ref="F38:I38"/>
    <mergeCell ref="F39:I39"/>
    <mergeCell ref="F40:I40"/>
    <mergeCell ref="F44:I44"/>
    <mergeCell ref="F58:I58"/>
    <mergeCell ref="F59:I59"/>
    <mergeCell ref="F60:I60"/>
    <mergeCell ref="F61:I61"/>
    <mergeCell ref="F62:I62"/>
    <mergeCell ref="F51:I51"/>
    <mergeCell ref="F52:I52"/>
    <mergeCell ref="F53:I53"/>
    <mergeCell ref="F55:I55"/>
    <mergeCell ref="F56:I56"/>
    <mergeCell ref="F57:I57"/>
    <mergeCell ref="F97:I97"/>
    <mergeCell ref="F98:I98"/>
    <mergeCell ref="F99:I99"/>
    <mergeCell ref="F100:I100"/>
    <mergeCell ref="F91:I91"/>
    <mergeCell ref="F92:I92"/>
    <mergeCell ref="F93:I93"/>
    <mergeCell ref="F94:I94"/>
    <mergeCell ref="F95:I95"/>
    <mergeCell ref="F89:I89"/>
    <mergeCell ref="F90:I90"/>
    <mergeCell ref="F81:I81"/>
    <mergeCell ref="F74:I74"/>
    <mergeCell ref="F63:I63"/>
    <mergeCell ref="F64:I64"/>
    <mergeCell ref="F65:I65"/>
    <mergeCell ref="F66:I66"/>
    <mergeCell ref="F96:I96"/>
    <mergeCell ref="F68:I68"/>
    <mergeCell ref="F102:I102"/>
    <mergeCell ref="F103:I103"/>
    <mergeCell ref="F29:I29"/>
    <mergeCell ref="F28:I28"/>
    <mergeCell ref="F82:I82"/>
    <mergeCell ref="F83:I83"/>
    <mergeCell ref="F84:I84"/>
    <mergeCell ref="F85:I85"/>
    <mergeCell ref="F86:I86"/>
    <mergeCell ref="F75:I75"/>
    <mergeCell ref="F76:I76"/>
    <mergeCell ref="F77:I77"/>
    <mergeCell ref="F78:I78"/>
    <mergeCell ref="F79:I79"/>
    <mergeCell ref="F80:I80"/>
    <mergeCell ref="F69:I69"/>
    <mergeCell ref="F70:I70"/>
    <mergeCell ref="F71:I71"/>
    <mergeCell ref="F72:I72"/>
    <mergeCell ref="F73:I73"/>
    <mergeCell ref="F101:I101"/>
    <mergeCell ref="F67:I67"/>
    <mergeCell ref="F87:I87"/>
    <mergeCell ref="F88:I88"/>
  </mergeCells>
  <phoneticPr fontId="2" type="noConversion"/>
  <pageMargins left="0.70866141732283472" right="0.70866141732283472" top="0.19685039370078741" bottom="0.19685039370078741" header="0.31496062992125984" footer="0.31496062992125984"/>
  <pageSetup scale="5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2026-09-10T18:12:29Z</cp:lastPrinted>
  <dcterms:created xsi:type="dcterms:W3CDTF">2026-08-22T01:56:48Z</dcterms:created>
  <dcterms:modified xsi:type="dcterms:W3CDTF">2026-09-21T23:13:15Z</dcterms:modified>
</cp:coreProperties>
</file>